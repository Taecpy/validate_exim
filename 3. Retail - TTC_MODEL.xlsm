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ople.ey.com/personal/sasiwut_chaiyadecha_th_ey_com/Documents/Desktop/Projects/EXIM/Analysis/"/>
    </mc:Choice>
  </mc:AlternateContent>
  <xr:revisionPtr revIDLastSave="2618" documentId="8_{3D013B01-EC30-4CC4-B551-8CEF448F75E5}" xr6:coauthVersionLast="47" xr6:coauthVersionMax="47" xr10:uidLastSave="{925BCB18-86ED-4BA5-B271-E2FA3C7181F7}"/>
  <bookViews>
    <workbookView xWindow="-120" yWindow="-120" windowWidth="51840" windowHeight="21120" activeTab="1" xr2:uid="{3D18C123-F689-44BF-9A91-7E4FD63CAB2E}"/>
  </bookViews>
  <sheets>
    <sheet name="Instruction " sheetId="2" r:id="rId1"/>
    <sheet name="1| Parameter" sheetId="7" r:id="rId2"/>
    <sheet name="2| Non-Default" sheetId="1" r:id="rId3"/>
    <sheet name="3| Function" sheetId="4" r:id="rId4"/>
    <sheet name="4| Default" sheetId="5" r:id="rId5"/>
    <sheet name="5| TTC Model" sheetId="6" r:id="rId6"/>
    <sheet name="RATING_DATA" sheetId="8" r:id="rId7"/>
    <sheet name="ACCOUNT_DATA" sheetId="9" r:id="rId8"/>
  </sheets>
  <definedNames>
    <definedName name="_xlnm._FilterDatabase" localSheetId="3" hidden="1">'3| Function'!#REF!</definedName>
    <definedName name="_xlnm._FilterDatabase" localSheetId="6" hidden="1">RATING_DATA!$A$1:$E$469</definedName>
    <definedName name="solver_adj" localSheetId="3" hidden="1">'3| Function'!$D$71:$D$73</definedName>
    <definedName name="solver_adj" localSheetId="4" hidden="1">'4| Default'!$G$37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0" localSheetId="4" hidden="1">'4| Default'!$I$20</definedName>
    <definedName name="solver_lhs1" localSheetId="3" hidden="1">'3| Function'!$G$141</definedName>
    <definedName name="solver_lhs1" localSheetId="4" hidden="1">'4| Default'!$AB$39</definedName>
    <definedName name="solver_lhs10" localSheetId="4" hidden="1">'4| Default'!#REF!</definedName>
    <definedName name="solver_lhs11" localSheetId="4" hidden="1">'4| Default'!#REF!</definedName>
    <definedName name="solver_lhs12" localSheetId="4" hidden="1">'4| Default'!#REF!</definedName>
    <definedName name="solver_lhs13" localSheetId="4" hidden="1">'4| Default'!$I$20</definedName>
    <definedName name="solver_lhs14" localSheetId="4" hidden="1">'4| Default'!#REF!</definedName>
    <definedName name="solver_lhs15" localSheetId="4" hidden="1">'4| Default'!#REF!</definedName>
    <definedName name="solver_lhs16" localSheetId="4" hidden="1">'4| Default'!#REF!</definedName>
    <definedName name="solver_lhs17" localSheetId="4" hidden="1">'4| Default'!$I$20</definedName>
    <definedName name="solver_lhs18" localSheetId="4" hidden="1">'4| Default'!#REF!</definedName>
    <definedName name="solver_lhs19" localSheetId="4" hidden="1">'4| Default'!#REF!</definedName>
    <definedName name="solver_lhs2" localSheetId="3" hidden="1">'3| Function'!#REF!</definedName>
    <definedName name="solver_lhs2" localSheetId="4" hidden="1">'4| Default'!#REF!</definedName>
    <definedName name="solver_lhs20" localSheetId="4" hidden="1">'4| Default'!#REF!</definedName>
    <definedName name="solver_lhs21" localSheetId="4" hidden="1">'4| Default'!$I$20</definedName>
    <definedName name="solver_lhs22" localSheetId="4" hidden="1">'4| Default'!#REF!</definedName>
    <definedName name="solver_lhs23" localSheetId="4" hidden="1">'4| Default'!#REF!</definedName>
    <definedName name="solver_lhs24" localSheetId="4" hidden="1">'4| Default'!#REF!</definedName>
    <definedName name="solver_lhs25" localSheetId="4" hidden="1">'4| Default'!$I$20</definedName>
    <definedName name="solver_lhs26" localSheetId="4" hidden="1">'4| Default'!#REF!</definedName>
    <definedName name="solver_lhs27" localSheetId="4" hidden="1">'4| Default'!#REF!</definedName>
    <definedName name="solver_lhs28" localSheetId="4" hidden="1">'4| Default'!#REF!</definedName>
    <definedName name="solver_lhs29" localSheetId="4" hidden="1">'4| Default'!$I$20</definedName>
    <definedName name="solver_lhs3" localSheetId="3" hidden="1">'3| Function'!#REF!</definedName>
    <definedName name="solver_lhs3" localSheetId="4" hidden="1">'4| Default'!#REF!</definedName>
    <definedName name="solver_lhs30" localSheetId="4" hidden="1">'4| Default'!#REF!</definedName>
    <definedName name="solver_lhs31" localSheetId="4" hidden="1">'4| Default'!#REF!</definedName>
    <definedName name="solver_lhs32" localSheetId="4" hidden="1">'4| Default'!#REF!</definedName>
    <definedName name="solver_lhs33" localSheetId="4" hidden="1">'4| Default'!$I$20</definedName>
    <definedName name="solver_lhs4" localSheetId="3" hidden="1">'3| Function'!$O$62:$O$69</definedName>
    <definedName name="solver_lhs4" localSheetId="4" hidden="1">'4| Default'!$I$20</definedName>
    <definedName name="solver_lhs5" localSheetId="4" hidden="1">'4| Default'!#REF!</definedName>
    <definedName name="solver_lhs6" localSheetId="4" hidden="1">'4| Default'!#REF!</definedName>
    <definedName name="solver_lhs7" localSheetId="4" hidden="1">'4| Default'!#REF!</definedName>
    <definedName name="solver_lhs8" localSheetId="4" hidden="1">'4| Default'!#REF!</definedName>
    <definedName name="solver_lhs9" localSheetId="4" hidden="1">'4| Default'!$I$20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2</definedName>
    <definedName name="solver_neg" localSheetId="4" hidden="1">2</definedName>
    <definedName name="solver_nod" localSheetId="3" hidden="1">2147483647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'3| Function'!$H$71</definedName>
    <definedName name="solver_opt" localSheetId="4" hidden="1">'4| Default'!$H$39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0" localSheetId="4" hidden="1">1</definedName>
    <definedName name="solver_rel1" localSheetId="3" hidden="1">2</definedName>
    <definedName name="solver_rel1" localSheetId="4" hidden="1">3</definedName>
    <definedName name="solver_rel10" localSheetId="4" hidden="1">1</definedName>
    <definedName name="solver_rel11" localSheetId="4" hidden="1">3</definedName>
    <definedName name="solver_rel12" localSheetId="4" hidden="1">1</definedName>
    <definedName name="solver_rel13" localSheetId="4" hidden="1">1</definedName>
    <definedName name="solver_rel14" localSheetId="4" hidden="1">1</definedName>
    <definedName name="solver_rel15" localSheetId="4" hidden="1">3</definedName>
    <definedName name="solver_rel16" localSheetId="4" hidden="1">1</definedName>
    <definedName name="solver_rel17" localSheetId="4" hidden="1">1</definedName>
    <definedName name="solver_rel18" localSheetId="4" hidden="1">1</definedName>
    <definedName name="solver_rel19" localSheetId="4" hidden="1">3</definedName>
    <definedName name="solver_rel2" localSheetId="3" hidden="1">2</definedName>
    <definedName name="solver_rel2" localSheetId="4" hidden="1">1</definedName>
    <definedName name="solver_rel20" localSheetId="4" hidden="1">1</definedName>
    <definedName name="solver_rel21" localSheetId="4" hidden="1">1</definedName>
    <definedName name="solver_rel22" localSheetId="4" hidden="1">1</definedName>
    <definedName name="solver_rel23" localSheetId="4" hidden="1">3</definedName>
    <definedName name="solver_rel24" localSheetId="4" hidden="1">1</definedName>
    <definedName name="solver_rel25" localSheetId="4" hidden="1">1</definedName>
    <definedName name="solver_rel26" localSheetId="4" hidden="1">1</definedName>
    <definedName name="solver_rel27" localSheetId="4" hidden="1">3</definedName>
    <definedName name="solver_rel28" localSheetId="4" hidden="1">1</definedName>
    <definedName name="solver_rel29" localSheetId="4" hidden="1">1</definedName>
    <definedName name="solver_rel3" localSheetId="3" hidden="1">2</definedName>
    <definedName name="solver_rel3" localSheetId="4" hidden="1">1</definedName>
    <definedName name="solver_rel30" localSheetId="4" hidden="1">1</definedName>
    <definedName name="solver_rel31" localSheetId="4" hidden="1">3</definedName>
    <definedName name="solver_rel32" localSheetId="4" hidden="1">1</definedName>
    <definedName name="solver_rel33" localSheetId="4" hidden="1">1</definedName>
    <definedName name="solver_rel4" localSheetId="3" hidden="1">3</definedName>
    <definedName name="solver_rel4" localSheetId="4" hidden="1">1</definedName>
    <definedName name="solver_rel5" localSheetId="4" hidden="1">3</definedName>
    <definedName name="solver_rel6" localSheetId="4" hidden="1">1</definedName>
    <definedName name="solver_rel7" localSheetId="4" hidden="1">3</definedName>
    <definedName name="solver_rel8" localSheetId="4" hidden="1">1</definedName>
    <definedName name="solver_rel9" localSheetId="4" hidden="1">1</definedName>
    <definedName name="solver_rhs0" localSheetId="4" hidden="1">0.5</definedName>
    <definedName name="solver_rhs1" localSheetId="3" hidden="1">1</definedName>
    <definedName name="solver_rhs1" localSheetId="4" hidden="1">0.2</definedName>
    <definedName name="solver_rhs10" localSheetId="4" hidden="1">3</definedName>
    <definedName name="solver_rhs11" localSheetId="4" hidden="1">2</definedName>
    <definedName name="solver_rhs12" localSheetId="4" hidden="1">6</definedName>
    <definedName name="solver_rhs13" localSheetId="4" hidden="1">0.5</definedName>
    <definedName name="solver_rhs14" localSheetId="4" hidden="1">3</definedName>
    <definedName name="solver_rhs15" localSheetId="4" hidden="1">2</definedName>
    <definedName name="solver_rhs16" localSheetId="4" hidden="1">6</definedName>
    <definedName name="solver_rhs17" localSheetId="4" hidden="1">0.5</definedName>
    <definedName name="solver_rhs18" localSheetId="4" hidden="1">3</definedName>
    <definedName name="solver_rhs19" localSheetId="4" hidden="1">2</definedName>
    <definedName name="solver_rhs2" localSheetId="3" hidden="1">1</definedName>
    <definedName name="solver_rhs2" localSheetId="4" hidden="1">6</definedName>
    <definedName name="solver_rhs20" localSheetId="4" hidden="1">6</definedName>
    <definedName name="solver_rhs21" localSheetId="4" hidden="1">0.5</definedName>
    <definedName name="solver_rhs22" localSheetId="4" hidden="1">3</definedName>
    <definedName name="solver_rhs23" localSheetId="4" hidden="1">2</definedName>
    <definedName name="solver_rhs24" localSheetId="4" hidden="1">6</definedName>
    <definedName name="solver_rhs25" localSheetId="4" hidden="1">0.5</definedName>
    <definedName name="solver_rhs26" localSheetId="4" hidden="1">3</definedName>
    <definedName name="solver_rhs27" localSheetId="4" hidden="1">2</definedName>
    <definedName name="solver_rhs28" localSheetId="4" hidden="1">6</definedName>
    <definedName name="solver_rhs29" localSheetId="4" hidden="1">0.5</definedName>
    <definedName name="solver_rhs3" localSheetId="3" hidden="1">1</definedName>
    <definedName name="solver_rhs3" localSheetId="4" hidden="1">6</definedName>
    <definedName name="solver_rhs30" localSheetId="4" hidden="1">3</definedName>
    <definedName name="solver_rhs31" localSheetId="4" hidden="1">2</definedName>
    <definedName name="solver_rhs32" localSheetId="4" hidden="1">6</definedName>
    <definedName name="solver_rhs33" localSheetId="4" hidden="1">0.5</definedName>
    <definedName name="solver_rhs4" localSheetId="3" hidden="1">0</definedName>
    <definedName name="solver_rhs4" localSheetId="4" hidden="1">0.5</definedName>
    <definedName name="solver_rhs5" localSheetId="4" hidden="1">5</definedName>
    <definedName name="solver_rhs6" localSheetId="4" hidden="1">3</definedName>
    <definedName name="solver_rhs7" localSheetId="4" hidden="1">2</definedName>
    <definedName name="solver_rhs8" localSheetId="4" hidden="1">6</definedName>
    <definedName name="solver_rhs9" localSheetId="4" hidden="1">0.5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2</definedName>
    <definedName name="solver_typ" localSheetId="4" hidden="1">2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9" i="1" l="1"/>
  <c r="BU19" i="1" s="1"/>
  <c r="BJ19" i="1"/>
  <c r="BT19" i="1" s="1"/>
  <c r="BI19" i="1"/>
  <c r="BS19" i="1" s="1"/>
  <c r="BH19" i="1"/>
  <c r="BR19" i="1" s="1"/>
  <c r="BG19" i="1"/>
  <c r="BQ19" i="1" s="1"/>
  <c r="BF19" i="1"/>
  <c r="BP19" i="1" s="1"/>
  <c r="BE19" i="1"/>
  <c r="BO19" i="1" s="1"/>
  <c r="BD19" i="1"/>
  <c r="BN19" i="1" s="1"/>
  <c r="BK18" i="1"/>
  <c r="BU18" i="1" s="1"/>
  <c r="BJ18" i="1"/>
  <c r="BT18" i="1" s="1"/>
  <c r="BI18" i="1"/>
  <c r="BS18" i="1" s="1"/>
  <c r="BH18" i="1"/>
  <c r="BR18" i="1" s="1"/>
  <c r="BG18" i="1"/>
  <c r="BQ18" i="1" s="1"/>
  <c r="BF18" i="1"/>
  <c r="BP18" i="1" s="1"/>
  <c r="BE18" i="1"/>
  <c r="BO18" i="1" s="1"/>
  <c r="BD18" i="1"/>
  <c r="BN18" i="1" s="1"/>
  <c r="BK17" i="1"/>
  <c r="BU17" i="1" s="1"/>
  <c r="BJ17" i="1"/>
  <c r="BT17" i="1" s="1"/>
  <c r="BI17" i="1"/>
  <c r="BS17" i="1" s="1"/>
  <c r="BH17" i="1"/>
  <c r="BR17" i="1" s="1"/>
  <c r="BG17" i="1"/>
  <c r="BQ17" i="1" s="1"/>
  <c r="BF17" i="1"/>
  <c r="BP17" i="1" s="1"/>
  <c r="BE17" i="1"/>
  <c r="BO17" i="1" s="1"/>
  <c r="BD17" i="1"/>
  <c r="BN17" i="1" s="1"/>
  <c r="BK16" i="1"/>
  <c r="BU16" i="1" s="1"/>
  <c r="BJ16" i="1"/>
  <c r="BT16" i="1" s="1"/>
  <c r="BI16" i="1"/>
  <c r="BS16" i="1" s="1"/>
  <c r="BH16" i="1"/>
  <c r="BR16" i="1" s="1"/>
  <c r="BG16" i="1"/>
  <c r="BQ16" i="1" s="1"/>
  <c r="BF16" i="1"/>
  <c r="BP16" i="1" s="1"/>
  <c r="BE16" i="1"/>
  <c r="BO16" i="1" s="1"/>
  <c r="BD16" i="1"/>
  <c r="BN16" i="1" s="1"/>
  <c r="BK15" i="1"/>
  <c r="BU15" i="1" s="1"/>
  <c r="BJ15" i="1"/>
  <c r="BT15" i="1" s="1"/>
  <c r="BI15" i="1"/>
  <c r="BS15" i="1" s="1"/>
  <c r="BH15" i="1"/>
  <c r="BR15" i="1" s="1"/>
  <c r="BG15" i="1"/>
  <c r="BQ15" i="1" s="1"/>
  <c r="BF15" i="1"/>
  <c r="BP15" i="1" s="1"/>
  <c r="BE15" i="1"/>
  <c r="BO15" i="1" s="1"/>
  <c r="BD15" i="1"/>
  <c r="BN15" i="1" s="1"/>
  <c r="BK14" i="1"/>
  <c r="BU14" i="1" s="1"/>
  <c r="BJ14" i="1"/>
  <c r="BT14" i="1" s="1"/>
  <c r="BI14" i="1"/>
  <c r="BS14" i="1" s="1"/>
  <c r="BH14" i="1"/>
  <c r="BR14" i="1" s="1"/>
  <c r="BG14" i="1"/>
  <c r="BQ14" i="1" s="1"/>
  <c r="BF14" i="1"/>
  <c r="BP14" i="1" s="1"/>
  <c r="BE14" i="1"/>
  <c r="BO14" i="1" s="1"/>
  <c r="BD14" i="1"/>
  <c r="BN14" i="1" s="1"/>
  <c r="BK13" i="1"/>
  <c r="BU13" i="1" s="1"/>
  <c r="BJ13" i="1"/>
  <c r="BT13" i="1" s="1"/>
  <c r="BI13" i="1"/>
  <c r="BS13" i="1" s="1"/>
  <c r="BH13" i="1"/>
  <c r="BR13" i="1" s="1"/>
  <c r="BG13" i="1"/>
  <c r="BQ13" i="1" s="1"/>
  <c r="BF13" i="1"/>
  <c r="BP13" i="1" s="1"/>
  <c r="BE13" i="1"/>
  <c r="BO13" i="1" s="1"/>
  <c r="BD13" i="1"/>
  <c r="BN13" i="1" s="1"/>
  <c r="BK12" i="1"/>
  <c r="BU12" i="1" s="1"/>
  <c r="BJ12" i="1"/>
  <c r="BT12" i="1" s="1"/>
  <c r="BI12" i="1"/>
  <c r="BS12" i="1" s="1"/>
  <c r="BH12" i="1"/>
  <c r="BR12" i="1" s="1"/>
  <c r="BG12" i="1"/>
  <c r="BQ12" i="1" s="1"/>
  <c r="BF12" i="1"/>
  <c r="BP12" i="1" s="1"/>
  <c r="BE12" i="1"/>
  <c r="BO12" i="1" s="1"/>
  <c r="BD12" i="1"/>
  <c r="BN12" i="1" s="1"/>
  <c r="V72" i="5"/>
  <c r="U72" i="5"/>
  <c r="T72" i="5"/>
  <c r="V71" i="5"/>
  <c r="U71" i="5"/>
  <c r="T71" i="5"/>
  <c r="V70" i="5"/>
  <c r="U70" i="5"/>
  <c r="T70" i="5"/>
  <c r="V69" i="5"/>
  <c r="U69" i="5"/>
  <c r="T69" i="5"/>
  <c r="V68" i="5"/>
  <c r="AB68" i="5" s="1"/>
  <c r="U68" i="5"/>
  <c r="T68" i="5"/>
  <c r="V67" i="5"/>
  <c r="AB67" i="5" s="1"/>
  <c r="U67" i="5"/>
  <c r="T67" i="5"/>
  <c r="AA66" i="5"/>
  <c r="V66" i="5"/>
  <c r="AB66" i="5" s="1"/>
  <c r="U66" i="5"/>
  <c r="T66" i="5"/>
  <c r="AA65" i="5"/>
  <c r="V65" i="5"/>
  <c r="AB65" i="5" s="1"/>
  <c r="U65" i="5"/>
  <c r="T65" i="5"/>
  <c r="Z63" i="5"/>
  <c r="Y63" i="5"/>
  <c r="X63" i="5"/>
  <c r="W63" i="5"/>
  <c r="AA67" i="5" l="1"/>
  <c r="AA68" i="5"/>
  <c r="S39" i="5" l="1"/>
  <c r="S40" i="5"/>
  <c r="S41" i="5"/>
  <c r="S42" i="5"/>
  <c r="S43" i="5"/>
  <c r="S44" i="5"/>
  <c r="S45" i="5"/>
  <c r="D35" i="5"/>
  <c r="S66" i="5" s="1"/>
  <c r="D36" i="5"/>
  <c r="S67" i="5" s="1"/>
  <c r="D37" i="5"/>
  <c r="S68" i="5" s="1"/>
  <c r="D38" i="5"/>
  <c r="D39" i="5"/>
  <c r="D40" i="5"/>
  <c r="D41" i="5"/>
  <c r="S72" i="5" s="1"/>
  <c r="D34" i="5"/>
  <c r="S65" i="5" s="1"/>
  <c r="Z72" i="5" l="1"/>
  <c r="X72" i="5"/>
  <c r="Y72" i="5"/>
  <c r="W72" i="5"/>
  <c r="T39" i="5"/>
  <c r="S71" i="5"/>
  <c r="X66" i="5"/>
  <c r="Y66" i="5"/>
  <c r="W66" i="5"/>
  <c r="Z66" i="5"/>
  <c r="T40" i="5"/>
  <c r="S70" i="5"/>
  <c r="T41" i="5"/>
  <c r="S69" i="5"/>
  <c r="X68" i="5"/>
  <c r="Z68" i="5"/>
  <c r="W68" i="5"/>
  <c r="Y68" i="5"/>
  <c r="X65" i="5"/>
  <c r="W65" i="5"/>
  <c r="Z65" i="5"/>
  <c r="Y65" i="5"/>
  <c r="W67" i="5"/>
  <c r="Y67" i="5"/>
  <c r="X67" i="5"/>
  <c r="Z67" i="5"/>
  <c r="T45" i="5"/>
  <c r="T42" i="5"/>
  <c r="T43" i="5"/>
  <c r="T44" i="5"/>
  <c r="H37" i="5"/>
  <c r="AB72" i="5" l="1"/>
  <c r="AA72" i="5"/>
  <c r="W69" i="5"/>
  <c r="Z69" i="5"/>
  <c r="X69" i="5"/>
  <c r="Y69" i="5"/>
  <c r="W71" i="5"/>
  <c r="Y71" i="5"/>
  <c r="Z71" i="5"/>
  <c r="X71" i="5"/>
  <c r="X70" i="5"/>
  <c r="Y70" i="5"/>
  <c r="Z70" i="5"/>
  <c r="W70" i="5"/>
  <c r="Y38" i="5"/>
  <c r="AA71" i="5" l="1"/>
  <c r="AB71" i="5"/>
  <c r="AA69" i="5"/>
  <c r="AB69" i="5"/>
  <c r="AA70" i="5"/>
  <c r="AB70" i="5"/>
  <c r="B16" i="7"/>
  <c r="B17" i="7" s="1"/>
  <c r="B18" i="7" s="1"/>
  <c r="B19" i="7" s="1"/>
  <c r="B20" i="7" s="1"/>
  <c r="C16" i="7" l="1"/>
  <c r="C19" i="7"/>
  <c r="C18" i="7"/>
  <c r="C17" i="7"/>
  <c r="C20" i="7"/>
  <c r="C7" i="7"/>
  <c r="C3" i="5"/>
  <c r="K33" i="5" s="1"/>
  <c r="C8" i="7" l="1"/>
  <c r="C31" i="5"/>
  <c r="D9" i="5"/>
  <c r="C9" i="5"/>
  <c r="C10" i="5"/>
  <c r="D10" i="5"/>
  <c r="D11" i="5"/>
  <c r="C11" i="5"/>
  <c r="D13" i="5"/>
  <c r="D8" i="5"/>
  <c r="D12" i="5"/>
  <c r="C12" i="5"/>
  <c r="C13" i="5"/>
  <c r="D15" i="5"/>
  <c r="S38" i="5" s="1"/>
  <c r="T38" i="5" s="1"/>
  <c r="D14" i="5"/>
  <c r="C14" i="5"/>
  <c r="C15" i="5"/>
  <c r="C8" i="5"/>
  <c r="E8" i="5" s="1"/>
  <c r="D20" i="5" s="1"/>
  <c r="C30" i="6"/>
  <c r="D30" i="6"/>
  <c r="E30" i="6"/>
  <c r="F30" i="6"/>
  <c r="G30" i="6"/>
  <c r="H30" i="6"/>
  <c r="I30" i="6"/>
  <c r="J30" i="6"/>
  <c r="K30" i="6"/>
  <c r="C43" i="6" s="1"/>
  <c r="C56" i="6" s="1"/>
  <c r="E11" i="5" l="1"/>
  <c r="D23" i="5" s="1"/>
  <c r="E15" i="5"/>
  <c r="D27" i="5" s="1"/>
  <c r="L30" i="6"/>
  <c r="E14" i="5"/>
  <c r="D26" i="5" s="1"/>
  <c r="E9" i="5"/>
  <c r="D21" i="5" s="1"/>
  <c r="E13" i="5"/>
  <c r="D25" i="5" s="1"/>
  <c r="E10" i="5"/>
  <c r="D22" i="5" s="1"/>
  <c r="E12" i="5"/>
  <c r="D24" i="5" s="1"/>
  <c r="C10" i="6"/>
  <c r="D10" i="6"/>
  <c r="E10" i="6"/>
  <c r="F10" i="6"/>
  <c r="G10" i="6"/>
  <c r="H10" i="6"/>
  <c r="I10" i="6"/>
  <c r="J10" i="6"/>
  <c r="C11" i="6"/>
  <c r="D11" i="6"/>
  <c r="E11" i="6"/>
  <c r="F11" i="6"/>
  <c r="G11" i="6"/>
  <c r="H11" i="6"/>
  <c r="I11" i="6"/>
  <c r="J11" i="6"/>
  <c r="C12" i="6"/>
  <c r="D12" i="6"/>
  <c r="E12" i="6"/>
  <c r="F12" i="6"/>
  <c r="G12" i="6"/>
  <c r="H12" i="6"/>
  <c r="I12" i="6"/>
  <c r="J12" i="6"/>
  <c r="C13" i="6"/>
  <c r="D13" i="6"/>
  <c r="E13" i="6"/>
  <c r="F13" i="6"/>
  <c r="G13" i="6"/>
  <c r="H13" i="6"/>
  <c r="I13" i="6"/>
  <c r="J13" i="6"/>
  <c r="C14" i="6"/>
  <c r="D14" i="6"/>
  <c r="E14" i="6"/>
  <c r="F14" i="6"/>
  <c r="G14" i="6"/>
  <c r="H14" i="6"/>
  <c r="I14" i="6"/>
  <c r="J14" i="6"/>
  <c r="C15" i="6"/>
  <c r="D15" i="6"/>
  <c r="E15" i="6"/>
  <c r="F15" i="6"/>
  <c r="G15" i="6"/>
  <c r="H15" i="6"/>
  <c r="I15" i="6"/>
  <c r="J15" i="6"/>
  <c r="C16" i="6"/>
  <c r="D16" i="6"/>
  <c r="E16" i="6"/>
  <c r="F16" i="6"/>
  <c r="G16" i="6"/>
  <c r="H16" i="6"/>
  <c r="I16" i="6"/>
  <c r="J16" i="6"/>
  <c r="D9" i="6"/>
  <c r="E9" i="6"/>
  <c r="F9" i="6"/>
  <c r="G9" i="6"/>
  <c r="H9" i="6"/>
  <c r="I9" i="6"/>
  <c r="J9" i="6"/>
  <c r="C9" i="6"/>
  <c r="H20" i="5" l="1"/>
  <c r="G20" i="5"/>
  <c r="C3" i="6"/>
  <c r="C3" i="4"/>
  <c r="C3" i="1"/>
  <c r="F3" i="1"/>
  <c r="C35" i="5" l="1"/>
  <c r="C40" i="5"/>
  <c r="C36" i="5"/>
  <c r="C37" i="5"/>
  <c r="C38" i="5"/>
  <c r="C39" i="5"/>
  <c r="C41" i="5"/>
  <c r="C34" i="5"/>
  <c r="B8" i="1"/>
  <c r="C11" i="7"/>
  <c r="D17" i="7"/>
  <c r="D18" i="7"/>
  <c r="D19" i="7"/>
  <c r="D20" i="7"/>
  <c r="D16" i="7"/>
  <c r="U45" i="5" l="1"/>
  <c r="M16" i="6"/>
  <c r="M10" i="6"/>
  <c r="U44" i="5"/>
  <c r="M13" i="6"/>
  <c r="U41" i="5"/>
  <c r="M12" i="6"/>
  <c r="U42" i="5"/>
  <c r="M14" i="6"/>
  <c r="U40" i="5"/>
  <c r="M11" i="6"/>
  <c r="U43" i="5"/>
  <c r="M15" i="6"/>
  <c r="U39" i="5"/>
  <c r="M9" i="6"/>
  <c r="A12" i="1"/>
  <c r="B22" i="1"/>
  <c r="C10" i="7"/>
  <c r="V39" i="5" l="1"/>
  <c r="V40" i="5" s="1"/>
  <c r="V41" i="5" s="1"/>
  <c r="V42" i="5" s="1"/>
  <c r="V43" i="5" s="1"/>
  <c r="V44" i="5" s="1"/>
  <c r="V45" i="5" s="1"/>
  <c r="V46" i="5" s="1"/>
  <c r="U38" i="5"/>
  <c r="W39" i="5" s="1"/>
  <c r="J28" i="6"/>
  <c r="D28" i="6"/>
  <c r="H28" i="6"/>
  <c r="G28" i="6"/>
  <c r="E28" i="6"/>
  <c r="C28" i="6"/>
  <c r="F28" i="6"/>
  <c r="I28" i="6"/>
  <c r="K28" i="6"/>
  <c r="C41" i="6" s="1"/>
  <c r="C54" i="6" s="1"/>
  <c r="G29" i="6"/>
  <c r="J29" i="6"/>
  <c r="E29" i="6"/>
  <c r="D29" i="6"/>
  <c r="C29" i="6"/>
  <c r="F29" i="6"/>
  <c r="I29" i="6"/>
  <c r="K29" i="6"/>
  <c r="C42" i="6" s="1"/>
  <c r="C55" i="6" s="1"/>
  <c r="H29" i="6"/>
  <c r="B36" i="1"/>
  <c r="A26" i="1"/>
  <c r="M22" i="1"/>
  <c r="C22" i="1"/>
  <c r="A13" i="1"/>
  <c r="G12" i="1"/>
  <c r="J12" i="1"/>
  <c r="I12" i="1"/>
  <c r="E12" i="1"/>
  <c r="C12" i="1"/>
  <c r="F12" i="1"/>
  <c r="D12" i="1"/>
  <c r="H12" i="1"/>
  <c r="E17" i="7"/>
  <c r="E18" i="7"/>
  <c r="E19" i="7"/>
  <c r="E20" i="7"/>
  <c r="E16" i="7"/>
  <c r="P60" i="4"/>
  <c r="J60" i="4"/>
  <c r="P39" i="4"/>
  <c r="J39" i="4"/>
  <c r="Y39" i="5" l="1"/>
  <c r="X39" i="5"/>
  <c r="W40" i="5"/>
  <c r="H39" i="5"/>
  <c r="C27" i="6"/>
  <c r="E24" i="6"/>
  <c r="E22" i="6"/>
  <c r="L29" i="6"/>
  <c r="L28" i="6"/>
  <c r="A14" i="1"/>
  <c r="C13" i="1"/>
  <c r="G13" i="1"/>
  <c r="J13" i="1"/>
  <c r="F13" i="1"/>
  <c r="I13" i="1"/>
  <c r="H13" i="1"/>
  <c r="D13" i="1"/>
  <c r="E13" i="1"/>
  <c r="W22" i="1"/>
  <c r="N22" i="1"/>
  <c r="K12" i="1"/>
  <c r="S12" i="1" s="1"/>
  <c r="A27" i="1"/>
  <c r="G26" i="1"/>
  <c r="F26" i="1"/>
  <c r="D26" i="1"/>
  <c r="E26" i="1"/>
  <c r="C26" i="1"/>
  <c r="I26" i="1"/>
  <c r="H26" i="1"/>
  <c r="J26" i="1"/>
  <c r="M36" i="1"/>
  <c r="A40" i="1"/>
  <c r="C36" i="1"/>
  <c r="B50" i="1"/>
  <c r="W41" i="5" l="1"/>
  <c r="Y40" i="5"/>
  <c r="X40" i="5"/>
  <c r="P12" i="1"/>
  <c r="E27" i="6"/>
  <c r="G27" i="6"/>
  <c r="F27" i="6"/>
  <c r="K24" i="6"/>
  <c r="C37" i="6" s="1"/>
  <c r="C50" i="6" s="1"/>
  <c r="H27" i="6"/>
  <c r="K27" i="6"/>
  <c r="C40" i="6" s="1"/>
  <c r="C53" i="6" s="1"/>
  <c r="I24" i="6"/>
  <c r="I27" i="6"/>
  <c r="J27" i="6"/>
  <c r="D27" i="6"/>
  <c r="H24" i="6"/>
  <c r="F24" i="6"/>
  <c r="D24" i="6"/>
  <c r="J24" i="6"/>
  <c r="G24" i="6"/>
  <c r="C24" i="6"/>
  <c r="H23" i="6"/>
  <c r="C23" i="6"/>
  <c r="J23" i="6"/>
  <c r="D23" i="6"/>
  <c r="G23" i="6"/>
  <c r="E23" i="6"/>
  <c r="K23" i="6"/>
  <c r="C36" i="6" s="1"/>
  <c r="C49" i="6" s="1"/>
  <c r="F23" i="6"/>
  <c r="I23" i="6"/>
  <c r="C22" i="6"/>
  <c r="G22" i="6"/>
  <c r="F22" i="6"/>
  <c r="J22" i="6"/>
  <c r="I25" i="6"/>
  <c r="H25" i="6"/>
  <c r="G25" i="6"/>
  <c r="F25" i="6"/>
  <c r="E25" i="6"/>
  <c r="K25" i="6"/>
  <c r="C38" i="6" s="1"/>
  <c r="C51" i="6" s="1"/>
  <c r="D25" i="6"/>
  <c r="C25" i="6"/>
  <c r="J25" i="6"/>
  <c r="H22" i="6"/>
  <c r="D26" i="6"/>
  <c r="I26" i="6"/>
  <c r="F26" i="6"/>
  <c r="J26" i="6"/>
  <c r="K26" i="6"/>
  <c r="C39" i="6" s="1"/>
  <c r="C52" i="6" s="1"/>
  <c r="G26" i="6"/>
  <c r="H26" i="6"/>
  <c r="C26" i="6"/>
  <c r="E26" i="6"/>
  <c r="D22" i="6"/>
  <c r="I22" i="6"/>
  <c r="K22" i="6"/>
  <c r="C35" i="6" s="1"/>
  <c r="C48" i="6" s="1"/>
  <c r="Q12" i="1"/>
  <c r="R13" i="1"/>
  <c r="O12" i="1"/>
  <c r="N13" i="1"/>
  <c r="K13" i="1"/>
  <c r="P13" i="1"/>
  <c r="A15" i="1"/>
  <c r="C14" i="1"/>
  <c r="F14" i="1"/>
  <c r="I14" i="1"/>
  <c r="H14" i="1"/>
  <c r="G14" i="1"/>
  <c r="J14" i="1"/>
  <c r="E14" i="1"/>
  <c r="D14" i="1"/>
  <c r="A41" i="1"/>
  <c r="G40" i="1"/>
  <c r="E40" i="1"/>
  <c r="D40" i="1"/>
  <c r="C40" i="1"/>
  <c r="F40" i="1"/>
  <c r="I40" i="1"/>
  <c r="H40" i="1"/>
  <c r="J40" i="1"/>
  <c r="A28" i="1"/>
  <c r="D27" i="1"/>
  <c r="C27" i="1"/>
  <c r="I27" i="1"/>
  <c r="H27" i="1"/>
  <c r="J27" i="1"/>
  <c r="F27" i="1"/>
  <c r="E27" i="1"/>
  <c r="G27" i="1"/>
  <c r="O13" i="1"/>
  <c r="N12" i="1"/>
  <c r="S13" i="1"/>
  <c r="R12" i="1"/>
  <c r="W36" i="1"/>
  <c r="N36" i="1"/>
  <c r="T13" i="1"/>
  <c r="U12" i="1"/>
  <c r="AE12" i="1" s="1"/>
  <c r="A54" i="1"/>
  <c r="M50" i="1"/>
  <c r="B64" i="1"/>
  <c r="C50" i="1"/>
  <c r="K26" i="1"/>
  <c r="T26" i="1" s="1"/>
  <c r="AG22" i="1"/>
  <c r="X22" i="1"/>
  <c r="Q13" i="1"/>
  <c r="T12" i="1"/>
  <c r="U13" i="1"/>
  <c r="AE13" i="1" s="1"/>
  <c r="C20" i="4"/>
  <c r="C22" i="4" s="1"/>
  <c r="J139" i="4"/>
  <c r="I139" i="4"/>
  <c r="I154" i="4" s="1"/>
  <c r="H139" i="4"/>
  <c r="H154" i="4" s="1"/>
  <c r="G139" i="4"/>
  <c r="G154" i="4" s="1"/>
  <c r="F139" i="4"/>
  <c r="F154" i="4" s="1"/>
  <c r="E139" i="4"/>
  <c r="E154" i="4" s="1"/>
  <c r="D139" i="4"/>
  <c r="D154" i="4" s="1"/>
  <c r="C139" i="4"/>
  <c r="J138" i="4"/>
  <c r="J153" i="4" s="1"/>
  <c r="I138" i="4"/>
  <c r="H138" i="4"/>
  <c r="H153" i="4" s="1"/>
  <c r="G138" i="4"/>
  <c r="G153" i="4" s="1"/>
  <c r="F138" i="4"/>
  <c r="F153" i="4" s="1"/>
  <c r="E138" i="4"/>
  <c r="E153" i="4" s="1"/>
  <c r="D138" i="4"/>
  <c r="D153" i="4" s="1"/>
  <c r="C138" i="4"/>
  <c r="J137" i="4"/>
  <c r="J152" i="4" s="1"/>
  <c r="I137" i="4"/>
  <c r="I152" i="4" s="1"/>
  <c r="H137" i="4"/>
  <c r="G137" i="4"/>
  <c r="G152" i="4" s="1"/>
  <c r="F137" i="4"/>
  <c r="F152" i="4" s="1"/>
  <c r="E137" i="4"/>
  <c r="E152" i="4" s="1"/>
  <c r="D137" i="4"/>
  <c r="D152" i="4" s="1"/>
  <c r="C137" i="4"/>
  <c r="J136" i="4"/>
  <c r="J151" i="4" s="1"/>
  <c r="I136" i="4"/>
  <c r="I151" i="4" s="1"/>
  <c r="H136" i="4"/>
  <c r="H151" i="4" s="1"/>
  <c r="G136" i="4"/>
  <c r="F136" i="4"/>
  <c r="F151" i="4" s="1"/>
  <c r="E136" i="4"/>
  <c r="E151" i="4" s="1"/>
  <c r="D136" i="4"/>
  <c r="D151" i="4" s="1"/>
  <c r="C136" i="4"/>
  <c r="J135" i="4"/>
  <c r="J150" i="4" s="1"/>
  <c r="I135" i="4"/>
  <c r="I150" i="4" s="1"/>
  <c r="H135" i="4"/>
  <c r="H150" i="4" s="1"/>
  <c r="G135" i="4"/>
  <c r="G150" i="4" s="1"/>
  <c r="F135" i="4"/>
  <c r="E135" i="4"/>
  <c r="E150" i="4" s="1"/>
  <c r="D135" i="4"/>
  <c r="D150" i="4" s="1"/>
  <c r="C135" i="4"/>
  <c r="J134" i="4"/>
  <c r="J149" i="4" s="1"/>
  <c r="I134" i="4"/>
  <c r="I149" i="4" s="1"/>
  <c r="H134" i="4"/>
  <c r="H149" i="4" s="1"/>
  <c r="G134" i="4"/>
  <c r="G149" i="4" s="1"/>
  <c r="F134" i="4"/>
  <c r="F149" i="4" s="1"/>
  <c r="E134" i="4"/>
  <c r="D134" i="4"/>
  <c r="D149" i="4" s="1"/>
  <c r="C134" i="4"/>
  <c r="J133" i="4"/>
  <c r="J148" i="4" s="1"/>
  <c r="I133" i="4"/>
  <c r="I148" i="4" s="1"/>
  <c r="H133" i="4"/>
  <c r="H148" i="4" s="1"/>
  <c r="G133" i="4"/>
  <c r="G148" i="4" s="1"/>
  <c r="F133" i="4"/>
  <c r="F148" i="4" s="1"/>
  <c r="E133" i="4"/>
  <c r="E148" i="4" s="1"/>
  <c r="D133" i="4"/>
  <c r="C133" i="4"/>
  <c r="J132" i="4"/>
  <c r="J147" i="4" s="1"/>
  <c r="I132" i="4"/>
  <c r="I147" i="4" s="1"/>
  <c r="H132" i="4"/>
  <c r="H147" i="4" s="1"/>
  <c r="G132" i="4"/>
  <c r="G147" i="4" s="1"/>
  <c r="F132" i="4"/>
  <c r="F147" i="4" s="1"/>
  <c r="E132" i="4"/>
  <c r="E147" i="4" s="1"/>
  <c r="D132" i="4"/>
  <c r="C132" i="4"/>
  <c r="I100" i="4"/>
  <c r="I104" i="4" s="1"/>
  <c r="I108" i="4" s="1"/>
  <c r="I112" i="4" s="1"/>
  <c r="I116" i="4" s="1"/>
  <c r="I120" i="4" s="1"/>
  <c r="I124" i="4" s="1"/>
  <c r="H100" i="4"/>
  <c r="C100" i="4"/>
  <c r="C104" i="4" s="1"/>
  <c r="C108" i="4" s="1"/>
  <c r="C112" i="4" s="1"/>
  <c r="C116" i="4" s="1"/>
  <c r="C120" i="4" s="1"/>
  <c r="C124" i="4" s="1"/>
  <c r="B100" i="4"/>
  <c r="I99" i="4"/>
  <c r="I103" i="4" s="1"/>
  <c r="I107" i="4" s="1"/>
  <c r="I111" i="4" s="1"/>
  <c r="I115" i="4" s="1"/>
  <c r="I119" i="4" s="1"/>
  <c r="I123" i="4" s="1"/>
  <c r="H99" i="4"/>
  <c r="H103" i="4" s="1"/>
  <c r="C99" i="4"/>
  <c r="C103" i="4" s="1"/>
  <c r="C107" i="4" s="1"/>
  <c r="C111" i="4" s="1"/>
  <c r="C115" i="4" s="1"/>
  <c r="C119" i="4" s="1"/>
  <c r="C123" i="4" s="1"/>
  <c r="B99" i="4"/>
  <c r="B103" i="4" s="1"/>
  <c r="I98" i="4"/>
  <c r="I102" i="4" s="1"/>
  <c r="I106" i="4" s="1"/>
  <c r="I110" i="4" s="1"/>
  <c r="I114" i="4" s="1"/>
  <c r="I118" i="4" s="1"/>
  <c r="I122" i="4" s="1"/>
  <c r="H98" i="4"/>
  <c r="H102" i="4" s="1"/>
  <c r="H106" i="4" s="1"/>
  <c r="C98" i="4"/>
  <c r="C102" i="4" s="1"/>
  <c r="C106" i="4" s="1"/>
  <c r="C110" i="4" s="1"/>
  <c r="C114" i="4" s="1"/>
  <c r="C118" i="4" s="1"/>
  <c r="C122" i="4" s="1"/>
  <c r="B98" i="4"/>
  <c r="I97" i="4"/>
  <c r="H97" i="4"/>
  <c r="H101" i="4" s="1"/>
  <c r="H105" i="4" s="1"/>
  <c r="H109" i="4" s="1"/>
  <c r="C97" i="4"/>
  <c r="C101" i="4" s="1"/>
  <c r="C105" i="4" s="1"/>
  <c r="C109" i="4" s="1"/>
  <c r="C113" i="4" s="1"/>
  <c r="C117" i="4" s="1"/>
  <c r="C121" i="4" s="1"/>
  <c r="B97" i="4"/>
  <c r="B101" i="4" s="1"/>
  <c r="D87" i="4"/>
  <c r="H87" i="4" s="1"/>
  <c r="C87" i="4"/>
  <c r="G87" i="4" s="1"/>
  <c r="D86" i="4"/>
  <c r="H86" i="4" s="1"/>
  <c r="C86" i="4"/>
  <c r="G86" i="4" s="1"/>
  <c r="D85" i="4"/>
  <c r="H85" i="4" s="1"/>
  <c r="C85" i="4"/>
  <c r="G85" i="4" s="1"/>
  <c r="D84" i="4"/>
  <c r="H84" i="4" s="1"/>
  <c r="C84" i="4"/>
  <c r="G84" i="4" s="1"/>
  <c r="D83" i="4"/>
  <c r="H83" i="4" s="1"/>
  <c r="C83" i="4"/>
  <c r="G83" i="4" s="1"/>
  <c r="F43" i="4"/>
  <c r="E43" i="4"/>
  <c r="F42" i="4"/>
  <c r="E42" i="4"/>
  <c r="F41" i="4"/>
  <c r="E41" i="4"/>
  <c r="F40" i="4"/>
  <c r="E40" i="4"/>
  <c r="M8" i="1"/>
  <c r="N8" i="1" s="1"/>
  <c r="C8" i="1"/>
  <c r="W42" i="5" l="1"/>
  <c r="Y41" i="5"/>
  <c r="X41" i="5"/>
  <c r="L24" i="6"/>
  <c r="L27" i="6"/>
  <c r="L22" i="6"/>
  <c r="D35" i="6" a="1"/>
  <c r="D53" i="6" s="1"/>
  <c r="L26" i="6"/>
  <c r="L25" i="6"/>
  <c r="L23" i="6"/>
  <c r="O27" i="1"/>
  <c r="R27" i="1"/>
  <c r="Q14" i="1"/>
  <c r="Q27" i="1"/>
  <c r="A42" i="1"/>
  <c r="D41" i="1"/>
  <c r="F41" i="1"/>
  <c r="E41" i="1"/>
  <c r="I41" i="1"/>
  <c r="H41" i="1"/>
  <c r="J41" i="1"/>
  <c r="C41" i="1"/>
  <c r="G41" i="1"/>
  <c r="N14" i="1"/>
  <c r="K14" i="1"/>
  <c r="AG36" i="1"/>
  <c r="X36" i="1"/>
  <c r="P27" i="1"/>
  <c r="U26" i="1"/>
  <c r="AE26" i="1" s="1"/>
  <c r="W50" i="1"/>
  <c r="N50" i="1"/>
  <c r="A55" i="1"/>
  <c r="G54" i="1"/>
  <c r="E54" i="1"/>
  <c r="D54" i="1"/>
  <c r="F54" i="1"/>
  <c r="C54" i="1"/>
  <c r="I54" i="1"/>
  <c r="H54" i="1"/>
  <c r="J54" i="1"/>
  <c r="U27" i="1"/>
  <c r="AE27" i="1" s="1"/>
  <c r="O14" i="1"/>
  <c r="A16" i="1"/>
  <c r="D15" i="1"/>
  <c r="E15" i="1"/>
  <c r="J15" i="1"/>
  <c r="C15" i="1"/>
  <c r="G15" i="1"/>
  <c r="F15" i="1"/>
  <c r="I15" i="1"/>
  <c r="H15" i="1"/>
  <c r="T14" i="1"/>
  <c r="P26" i="1"/>
  <c r="A68" i="1"/>
  <c r="M64" i="1"/>
  <c r="C64" i="1"/>
  <c r="S27" i="1"/>
  <c r="P14" i="1"/>
  <c r="A29" i="1"/>
  <c r="F28" i="1"/>
  <c r="I28" i="1"/>
  <c r="H28" i="1"/>
  <c r="C28" i="1"/>
  <c r="J28" i="1"/>
  <c r="E28" i="1"/>
  <c r="G28" i="1"/>
  <c r="D28" i="1"/>
  <c r="R26" i="1"/>
  <c r="AR22" i="1"/>
  <c r="AS22" i="1" s="1"/>
  <c r="AH22" i="1"/>
  <c r="AJ22" i="1"/>
  <c r="AP26" i="1" s="1"/>
  <c r="AP27" i="1" s="1"/>
  <c r="S26" i="1"/>
  <c r="T27" i="1"/>
  <c r="U14" i="1"/>
  <c r="AE14" i="1" s="1"/>
  <c r="N26" i="1"/>
  <c r="O26" i="1"/>
  <c r="N27" i="1"/>
  <c r="K27" i="1"/>
  <c r="K40" i="1"/>
  <c r="T40" i="1" s="1"/>
  <c r="R14" i="1"/>
  <c r="S14" i="1"/>
  <c r="Q26" i="1"/>
  <c r="AA13" i="1"/>
  <c r="AB12" i="1"/>
  <c r="AC13" i="1"/>
  <c r="X12" i="1"/>
  <c r="AH12" i="1" s="1"/>
  <c r="AC12" i="1"/>
  <c r="AB13" i="1"/>
  <c r="AA12" i="1"/>
  <c r="Z13" i="1"/>
  <c r="Z12" i="1"/>
  <c r="Y13" i="1"/>
  <c r="Y12" i="1"/>
  <c r="X13" i="1"/>
  <c r="AH13" i="1" s="1"/>
  <c r="AD13" i="1"/>
  <c r="AD12" i="1"/>
  <c r="C148" i="4"/>
  <c r="D148" i="4"/>
  <c r="C149" i="4"/>
  <c r="E149" i="4"/>
  <c r="C150" i="4"/>
  <c r="F150" i="4"/>
  <c r="C151" i="4"/>
  <c r="G151" i="4"/>
  <c r="C152" i="4"/>
  <c r="H152" i="4"/>
  <c r="C153" i="4"/>
  <c r="I153" i="4"/>
  <c r="C154" i="4"/>
  <c r="J154" i="4"/>
  <c r="D147" i="4"/>
  <c r="C147" i="4"/>
  <c r="F141" i="4"/>
  <c r="C26" i="4"/>
  <c r="O26" i="4" s="1"/>
  <c r="C24" i="4"/>
  <c r="O24" i="4" s="1"/>
  <c r="C23" i="4"/>
  <c r="O23" i="4" s="1"/>
  <c r="C25" i="4"/>
  <c r="O25" i="4" s="1"/>
  <c r="H89" i="4"/>
  <c r="D22" i="4"/>
  <c r="D25" i="4" s="1"/>
  <c r="P25" i="4" s="1"/>
  <c r="G89" i="4"/>
  <c r="H110" i="4"/>
  <c r="H113" i="4"/>
  <c r="B102" i="4"/>
  <c r="B105" i="4"/>
  <c r="H104" i="4"/>
  <c r="B107" i="4"/>
  <c r="B104" i="4"/>
  <c r="H107" i="4"/>
  <c r="C62" i="4"/>
  <c r="I101" i="4"/>
  <c r="W8" i="1"/>
  <c r="W43" i="5" l="1"/>
  <c r="Y42" i="5"/>
  <c r="X42" i="5"/>
  <c r="AC26" i="1"/>
  <c r="AM26" i="1" s="1"/>
  <c r="D49" i="6"/>
  <c r="D56" i="6"/>
  <c r="D51" i="6"/>
  <c r="D54" i="6"/>
  <c r="D55" i="6"/>
  <c r="D35" i="6"/>
  <c r="E35" i="6" s="1" a="1"/>
  <c r="E52" i="6" s="1"/>
  <c r="D52" i="6"/>
  <c r="D50" i="6"/>
  <c r="AC14" i="1"/>
  <c r="Y27" i="1"/>
  <c r="AI27" i="1" s="1"/>
  <c r="AD14" i="1"/>
  <c r="AB14" i="1"/>
  <c r="X14" i="1"/>
  <c r="AH14" i="1" s="1"/>
  <c r="Z14" i="1"/>
  <c r="AO27" i="1"/>
  <c r="AZ27" i="1" s="1"/>
  <c r="Q41" i="1"/>
  <c r="U15" i="1"/>
  <c r="AE15" i="1" s="1"/>
  <c r="AA14" i="1"/>
  <c r="Y26" i="1"/>
  <c r="AI26" i="1" s="1"/>
  <c r="AB26" i="1"/>
  <c r="AL26" i="1" s="1"/>
  <c r="R40" i="1"/>
  <c r="R15" i="1"/>
  <c r="AR36" i="1"/>
  <c r="AS36" i="1" s="1"/>
  <c r="AH36" i="1"/>
  <c r="AJ36" i="1"/>
  <c r="AP40" i="1" s="1"/>
  <c r="T41" i="1"/>
  <c r="Y14" i="1"/>
  <c r="O40" i="1"/>
  <c r="X26" i="1"/>
  <c r="AH26" i="1" s="1"/>
  <c r="S28" i="1"/>
  <c r="W64" i="1"/>
  <c r="N64" i="1"/>
  <c r="N15" i="1"/>
  <c r="K15" i="1"/>
  <c r="AD26" i="1"/>
  <c r="AN26" i="1" s="1"/>
  <c r="P41" i="1"/>
  <c r="T28" i="1"/>
  <c r="A69" i="1"/>
  <c r="G68" i="1"/>
  <c r="D68" i="1"/>
  <c r="F68" i="1"/>
  <c r="I68" i="1"/>
  <c r="C68" i="1"/>
  <c r="H68" i="1"/>
  <c r="E68" i="1"/>
  <c r="J68" i="1"/>
  <c r="Q28" i="1"/>
  <c r="Z26" i="1"/>
  <c r="AJ26" i="1" s="1"/>
  <c r="O41" i="1"/>
  <c r="P15" i="1"/>
  <c r="N40" i="1"/>
  <c r="Q40" i="1"/>
  <c r="O28" i="1"/>
  <c r="A30" i="1"/>
  <c r="F29" i="1"/>
  <c r="I29" i="1"/>
  <c r="H29" i="1"/>
  <c r="J29" i="1"/>
  <c r="G29" i="1"/>
  <c r="E29" i="1"/>
  <c r="D29" i="1"/>
  <c r="C29" i="1"/>
  <c r="O15" i="1"/>
  <c r="AG50" i="1"/>
  <c r="X50" i="1"/>
  <c r="R41" i="1"/>
  <c r="A43" i="1"/>
  <c r="F42" i="1"/>
  <c r="C42" i="1"/>
  <c r="I42" i="1"/>
  <c r="H42" i="1"/>
  <c r="E42" i="1"/>
  <c r="J42" i="1"/>
  <c r="G42" i="1"/>
  <c r="D42" i="1"/>
  <c r="K54" i="1"/>
  <c r="T54" i="1" s="1"/>
  <c r="AO26" i="1"/>
  <c r="AZ26" i="1" s="1"/>
  <c r="N41" i="1"/>
  <c r="K41" i="1"/>
  <c r="U40" i="1"/>
  <c r="AE40" i="1" s="1"/>
  <c r="K28" i="1"/>
  <c r="N28" i="1"/>
  <c r="AD27" i="1"/>
  <c r="AN27" i="1" s="1"/>
  <c r="S15" i="1"/>
  <c r="A17" i="1"/>
  <c r="H16" i="1"/>
  <c r="D16" i="1"/>
  <c r="E16" i="1"/>
  <c r="C16" i="1"/>
  <c r="J16" i="1"/>
  <c r="G16" i="1"/>
  <c r="F16" i="1"/>
  <c r="I16" i="1"/>
  <c r="P28" i="1"/>
  <c r="T15" i="1"/>
  <c r="Z27" i="1"/>
  <c r="AJ27" i="1" s="1"/>
  <c r="U41" i="1"/>
  <c r="AE41" i="1" s="1"/>
  <c r="AA27" i="1"/>
  <c r="AK27" i="1" s="1"/>
  <c r="A56" i="1"/>
  <c r="D55" i="1"/>
  <c r="C55" i="1"/>
  <c r="E55" i="1"/>
  <c r="F55" i="1"/>
  <c r="I55" i="1"/>
  <c r="H55" i="1"/>
  <c r="J55" i="1"/>
  <c r="G55" i="1"/>
  <c r="R28" i="1"/>
  <c r="AB27" i="1"/>
  <c r="AL27" i="1" s="1"/>
  <c r="AA26" i="1"/>
  <c r="AK26" i="1" s="1"/>
  <c r="X27" i="1"/>
  <c r="AH27" i="1" s="1"/>
  <c r="AP28" i="1"/>
  <c r="U28" i="1"/>
  <c r="AE28" i="1" s="1"/>
  <c r="AC27" i="1"/>
  <c r="AM27" i="1" s="1"/>
  <c r="Q15" i="1"/>
  <c r="S40" i="1"/>
  <c r="S41" i="1"/>
  <c r="P40" i="1"/>
  <c r="E22" i="4"/>
  <c r="D24" i="4"/>
  <c r="P24" i="4" s="1"/>
  <c r="D23" i="4"/>
  <c r="P23" i="4" s="1"/>
  <c r="H117" i="4"/>
  <c r="O148" i="4"/>
  <c r="O150" i="4"/>
  <c r="B109" i="4"/>
  <c r="D96" i="4"/>
  <c r="B108" i="4"/>
  <c r="O151" i="4"/>
  <c r="O152" i="4"/>
  <c r="O149" i="4"/>
  <c r="B111" i="4"/>
  <c r="H108" i="4"/>
  <c r="O153" i="4"/>
  <c r="I105" i="4"/>
  <c r="E62" i="4"/>
  <c r="G62" i="4"/>
  <c r="H111" i="4"/>
  <c r="B106" i="4"/>
  <c r="O154" i="4"/>
  <c r="D100" i="4"/>
  <c r="O147" i="4"/>
  <c r="H114" i="4"/>
  <c r="AG8" i="1"/>
  <c r="AJ8" i="1" s="1"/>
  <c r="AP12" i="1" s="1"/>
  <c r="AK12" i="1" s="1"/>
  <c r="X8" i="1"/>
  <c r="W44" i="5" l="1"/>
  <c r="X43" i="5"/>
  <c r="Y43" i="5"/>
  <c r="AD15" i="1"/>
  <c r="E53" i="6"/>
  <c r="E54" i="6"/>
  <c r="E50" i="6"/>
  <c r="E51" i="6"/>
  <c r="E49" i="6"/>
  <c r="E35" i="6"/>
  <c r="F35" i="6" s="1" a="1"/>
  <c r="F50" i="6" s="1"/>
  <c r="E55" i="6"/>
  <c r="D48" i="6"/>
  <c r="E56" i="6"/>
  <c r="AC41" i="1"/>
  <c r="AV26" i="1"/>
  <c r="AX26" i="1"/>
  <c r="AO40" i="1"/>
  <c r="AZ40" i="1" s="1"/>
  <c r="AS26" i="1"/>
  <c r="AB28" i="1"/>
  <c r="AL28" i="1" s="1"/>
  <c r="AW26" i="1"/>
  <c r="AO28" i="1"/>
  <c r="AZ28" i="1" s="1"/>
  <c r="AC15" i="1"/>
  <c r="AY27" i="1"/>
  <c r="AS27" i="1"/>
  <c r="R54" i="1"/>
  <c r="AB40" i="1"/>
  <c r="AL40" i="1" s="1"/>
  <c r="AW27" i="1"/>
  <c r="Q54" i="1"/>
  <c r="U42" i="1"/>
  <c r="AE42" i="1" s="1"/>
  <c r="S29" i="1"/>
  <c r="O54" i="1"/>
  <c r="AA15" i="1"/>
  <c r="Y15" i="1"/>
  <c r="P55" i="1"/>
  <c r="U54" i="1"/>
  <c r="AE54" i="1" s="1"/>
  <c r="T16" i="1"/>
  <c r="Q55" i="1"/>
  <c r="AV27" i="1"/>
  <c r="Q16" i="1"/>
  <c r="P42" i="1"/>
  <c r="AJ50" i="1"/>
  <c r="AP54" i="1" s="1"/>
  <c r="AP55" i="1" s="1"/>
  <c r="AP56" i="1" s="1"/>
  <c r="AP57" i="1" s="1"/>
  <c r="AR50" i="1"/>
  <c r="AS50" i="1" s="1"/>
  <c r="AH50" i="1"/>
  <c r="T29" i="1"/>
  <c r="S54" i="1"/>
  <c r="AD41" i="1"/>
  <c r="T42" i="1"/>
  <c r="K29" i="1"/>
  <c r="N29" i="1"/>
  <c r="A31" i="1"/>
  <c r="I30" i="1"/>
  <c r="H30" i="1"/>
  <c r="D30" i="1"/>
  <c r="E30" i="1"/>
  <c r="C30" i="1"/>
  <c r="J30" i="1"/>
  <c r="G30" i="1"/>
  <c r="F30" i="1"/>
  <c r="AA28" i="1"/>
  <c r="AK28" i="1" s="1"/>
  <c r="X15" i="1"/>
  <c r="AH15" i="1" s="1"/>
  <c r="AP41" i="1"/>
  <c r="AP42" i="1" s="1"/>
  <c r="AP43" i="1" s="1"/>
  <c r="AP44" i="1" s="1"/>
  <c r="AP45" i="1" s="1"/>
  <c r="Y41" i="1"/>
  <c r="S42" i="1"/>
  <c r="U16" i="1"/>
  <c r="AE16" i="1" s="1"/>
  <c r="AD40" i="1"/>
  <c r="AN40" i="1" s="1"/>
  <c r="AX27" i="1"/>
  <c r="O55" i="1"/>
  <c r="N16" i="1"/>
  <c r="K16" i="1"/>
  <c r="N54" i="1"/>
  <c r="K42" i="1"/>
  <c r="N42" i="1"/>
  <c r="O29" i="1"/>
  <c r="Y28" i="1"/>
  <c r="AI28" i="1" s="1"/>
  <c r="A70" i="1"/>
  <c r="C69" i="1"/>
  <c r="D69" i="1"/>
  <c r="F69" i="1"/>
  <c r="I69" i="1"/>
  <c r="H69" i="1"/>
  <c r="E69" i="1"/>
  <c r="J69" i="1"/>
  <c r="G69" i="1"/>
  <c r="T55" i="1"/>
  <c r="Y40" i="1"/>
  <c r="AI40" i="1" s="1"/>
  <c r="AC40" i="1"/>
  <c r="AM40" i="1" s="1"/>
  <c r="R55" i="1"/>
  <c r="A57" i="1"/>
  <c r="C56" i="1"/>
  <c r="F56" i="1"/>
  <c r="E56" i="1"/>
  <c r="I56" i="1"/>
  <c r="H56" i="1"/>
  <c r="J56" i="1"/>
  <c r="G56" i="1"/>
  <c r="D56" i="1"/>
  <c r="P16" i="1"/>
  <c r="AA41" i="1"/>
  <c r="Q42" i="1"/>
  <c r="P29" i="1"/>
  <c r="AA40" i="1"/>
  <c r="AK40" i="1" s="1"/>
  <c r="AD28" i="1"/>
  <c r="AN28" i="1" s="1"/>
  <c r="AG64" i="1"/>
  <c r="X64" i="1"/>
  <c r="A18" i="1"/>
  <c r="D17" i="1"/>
  <c r="E17" i="1"/>
  <c r="C17" i="1"/>
  <c r="G17" i="1"/>
  <c r="J17" i="1"/>
  <c r="F17" i="1"/>
  <c r="H17" i="1"/>
  <c r="I17" i="1"/>
  <c r="R16" i="1"/>
  <c r="X41" i="1"/>
  <c r="AH41" i="1" s="1"/>
  <c r="N55" i="1"/>
  <c r="K55" i="1"/>
  <c r="AT27" i="1"/>
  <c r="AU27" i="1"/>
  <c r="AP29" i="1"/>
  <c r="U55" i="1"/>
  <c r="AE55" i="1" s="1"/>
  <c r="Z28" i="1"/>
  <c r="AJ28" i="1" s="1"/>
  <c r="O16" i="1"/>
  <c r="X28" i="1"/>
  <c r="AH28" i="1" s="1"/>
  <c r="O42" i="1"/>
  <c r="A44" i="1"/>
  <c r="F43" i="1"/>
  <c r="C43" i="1"/>
  <c r="I43" i="1"/>
  <c r="H43" i="1"/>
  <c r="E43" i="1"/>
  <c r="J43" i="1"/>
  <c r="G43" i="1"/>
  <c r="D43" i="1"/>
  <c r="R29" i="1"/>
  <c r="X40" i="1"/>
  <c r="AH40" i="1" s="1"/>
  <c r="Z41" i="1"/>
  <c r="AC28" i="1"/>
  <c r="AM28" i="1" s="1"/>
  <c r="P54" i="1"/>
  <c r="Q29" i="1"/>
  <c r="AU26" i="1"/>
  <c r="Z40" i="1"/>
  <c r="AJ40" i="1" s="1"/>
  <c r="S55" i="1"/>
  <c r="AT26" i="1"/>
  <c r="S16" i="1"/>
  <c r="R42" i="1"/>
  <c r="AB41" i="1"/>
  <c r="U29" i="1"/>
  <c r="AE29" i="1" s="1"/>
  <c r="Z15" i="1"/>
  <c r="K68" i="1"/>
  <c r="T68" i="1" s="1"/>
  <c r="AY26" i="1"/>
  <c r="AB15" i="1"/>
  <c r="AP13" i="1"/>
  <c r="AO12" i="1"/>
  <c r="AZ12" i="1" s="1"/>
  <c r="AL12" i="1"/>
  <c r="AV12" i="1" s="1"/>
  <c r="AI12" i="1"/>
  <c r="AJ12" i="1"/>
  <c r="AU12" i="1" s="1"/>
  <c r="AN12" i="1"/>
  <c r="AM12" i="1"/>
  <c r="D99" i="4"/>
  <c r="F22" i="4"/>
  <c r="E24" i="4"/>
  <c r="Q24" i="4" s="1"/>
  <c r="E23" i="4"/>
  <c r="Q23" i="4" s="1"/>
  <c r="D95" i="4"/>
  <c r="D103" i="4"/>
  <c r="H118" i="4"/>
  <c r="I109" i="4"/>
  <c r="H112" i="4"/>
  <c r="B113" i="4"/>
  <c r="B115" i="4"/>
  <c r="H121" i="4"/>
  <c r="B110" i="4"/>
  <c r="H115" i="4"/>
  <c r="D104" i="4"/>
  <c r="E100" i="4"/>
  <c r="E96" i="4"/>
  <c r="B112" i="4"/>
  <c r="D108" i="4"/>
  <c r="AH8" i="1"/>
  <c r="AR8" i="1"/>
  <c r="W45" i="5" l="1"/>
  <c r="X44" i="5"/>
  <c r="Y44" i="5"/>
  <c r="AV28" i="1"/>
  <c r="F35" i="6"/>
  <c r="F48" i="6" s="1"/>
  <c r="F53" i="6"/>
  <c r="F51" i="6"/>
  <c r="F56" i="6"/>
  <c r="F49" i="6"/>
  <c r="F54" i="6"/>
  <c r="F55" i="6"/>
  <c r="F52" i="6"/>
  <c r="E48" i="6"/>
  <c r="AY40" i="1"/>
  <c r="AX28" i="1"/>
  <c r="BA26" i="1"/>
  <c r="AY28" i="1"/>
  <c r="AX40" i="1"/>
  <c r="AV40" i="1"/>
  <c r="BA27" i="1"/>
  <c r="AB54" i="1"/>
  <c r="AL54" i="1" s="1"/>
  <c r="AU28" i="1"/>
  <c r="AD54" i="1"/>
  <c r="AN54" i="1" s="1"/>
  <c r="AA54" i="1"/>
  <c r="AK54" i="1" s="1"/>
  <c r="Q43" i="1"/>
  <c r="AO29" i="1"/>
  <c r="AZ29" i="1" s="1"/>
  <c r="AC55" i="1"/>
  <c r="AM55" i="1" s="1"/>
  <c r="Z54" i="1"/>
  <c r="AJ54" i="1" s="1"/>
  <c r="AD42" i="1"/>
  <c r="AN42" i="1" s="1"/>
  <c r="Y54" i="1"/>
  <c r="AI54" i="1" s="1"/>
  <c r="AM41" i="1"/>
  <c r="AC54" i="1"/>
  <c r="AM54" i="1" s="1"/>
  <c r="Z55" i="1"/>
  <c r="AJ55" i="1" s="1"/>
  <c r="AL41" i="1"/>
  <c r="AS28" i="1"/>
  <c r="AO41" i="1"/>
  <c r="AZ41" i="1" s="1"/>
  <c r="R68" i="1"/>
  <c r="S30" i="1"/>
  <c r="AA42" i="1"/>
  <c r="AK42" i="1" s="1"/>
  <c r="T56" i="1"/>
  <c r="Q69" i="1"/>
  <c r="X54" i="1"/>
  <c r="AH54" i="1" s="1"/>
  <c r="AC42" i="1"/>
  <c r="AM42" i="1" s="1"/>
  <c r="AJ41" i="1"/>
  <c r="AI41" i="1"/>
  <c r="AS41" i="1" s="1"/>
  <c r="T17" i="1"/>
  <c r="AK41" i="1"/>
  <c r="AO42" i="1"/>
  <c r="AZ42" i="1" s="1"/>
  <c r="O69" i="1"/>
  <c r="AB42" i="1"/>
  <c r="AL42" i="1" s="1"/>
  <c r="AC29" i="1"/>
  <c r="AM29" i="1" s="1"/>
  <c r="R43" i="1"/>
  <c r="Y42" i="1"/>
  <c r="AI42" i="1" s="1"/>
  <c r="Q17" i="1"/>
  <c r="Q56" i="1"/>
  <c r="AD55" i="1"/>
  <c r="AN55" i="1" s="1"/>
  <c r="N69" i="1"/>
  <c r="K69" i="1"/>
  <c r="Q30" i="1"/>
  <c r="A32" i="1"/>
  <c r="I31" i="1"/>
  <c r="H31" i="1"/>
  <c r="J31" i="1"/>
  <c r="G31" i="1"/>
  <c r="D31" i="1"/>
  <c r="E31" i="1"/>
  <c r="F31" i="1"/>
  <c r="C31" i="1"/>
  <c r="Z42" i="1"/>
  <c r="AJ42" i="1" s="1"/>
  <c r="T30" i="1"/>
  <c r="O68" i="1"/>
  <c r="AC16" i="1"/>
  <c r="U43" i="1"/>
  <c r="AE43" i="1" s="1"/>
  <c r="AO43" i="1" s="1"/>
  <c r="AZ43" i="1" s="1"/>
  <c r="U17" i="1"/>
  <c r="AE17" i="1" s="1"/>
  <c r="AH64" i="1"/>
  <c r="AJ64" i="1"/>
  <c r="AP68" i="1" s="1"/>
  <c r="AP69" i="1" s="1"/>
  <c r="AP70" i="1" s="1"/>
  <c r="AP71" i="1" s="1"/>
  <c r="AR64" i="1"/>
  <c r="AS64" i="1" s="1"/>
  <c r="Z16" i="1"/>
  <c r="K56" i="1"/>
  <c r="N56" i="1"/>
  <c r="R69" i="1"/>
  <c r="A71" i="1"/>
  <c r="F70" i="1"/>
  <c r="C70" i="1"/>
  <c r="I70" i="1"/>
  <c r="H70" i="1"/>
  <c r="E70" i="1"/>
  <c r="J70" i="1"/>
  <c r="G70" i="1"/>
  <c r="D70" i="1"/>
  <c r="X16" i="1"/>
  <c r="AH16" i="1" s="1"/>
  <c r="R30" i="1"/>
  <c r="X29" i="1"/>
  <c r="AH29" i="1" s="1"/>
  <c r="O9" i="4"/>
  <c r="A19" i="1"/>
  <c r="D18" i="1"/>
  <c r="E18" i="1"/>
  <c r="H18" i="1"/>
  <c r="C18" i="1"/>
  <c r="G18" i="1"/>
  <c r="F18" i="1"/>
  <c r="J18" i="1"/>
  <c r="I18" i="1"/>
  <c r="P56" i="1"/>
  <c r="AT40" i="1"/>
  <c r="R17" i="1"/>
  <c r="O56" i="1"/>
  <c r="A58" i="1"/>
  <c r="E57" i="1"/>
  <c r="F57" i="1"/>
  <c r="I57" i="1"/>
  <c r="H57" i="1"/>
  <c r="C57" i="1"/>
  <c r="J57" i="1"/>
  <c r="G57" i="1"/>
  <c r="D57" i="1"/>
  <c r="U69" i="1"/>
  <c r="AE69" i="1" s="1"/>
  <c r="U68" i="1"/>
  <c r="AE68" i="1" s="1"/>
  <c r="U30" i="1"/>
  <c r="AE30" i="1" s="1"/>
  <c r="Q68" i="1"/>
  <c r="AA16" i="1"/>
  <c r="AP30" i="1"/>
  <c r="S17" i="1"/>
  <c r="AD16" i="1"/>
  <c r="P43" i="1"/>
  <c r="Y16" i="1"/>
  <c r="N68" i="1"/>
  <c r="S43" i="1"/>
  <c r="X55" i="1"/>
  <c r="AH55" i="1" s="1"/>
  <c r="N17" i="1"/>
  <c r="K17" i="1"/>
  <c r="P68" i="1"/>
  <c r="R56" i="1"/>
  <c r="AB55" i="1"/>
  <c r="AL55" i="1" s="1"/>
  <c r="P69" i="1"/>
  <c r="AT28" i="1"/>
  <c r="Y55" i="1"/>
  <c r="AI55" i="1" s="1"/>
  <c r="K30" i="1"/>
  <c r="N30" i="1"/>
  <c r="AA29" i="1"/>
  <c r="AK29" i="1" s="1"/>
  <c r="AB29" i="1"/>
  <c r="AL29" i="1" s="1"/>
  <c r="O43" i="1"/>
  <c r="A45" i="1"/>
  <c r="I44" i="1"/>
  <c r="H44" i="1"/>
  <c r="E44" i="1"/>
  <c r="J44" i="1"/>
  <c r="G44" i="1"/>
  <c r="C44" i="1"/>
  <c r="D44" i="1"/>
  <c r="F44" i="1"/>
  <c r="AU40" i="1"/>
  <c r="S68" i="1"/>
  <c r="P17" i="1"/>
  <c r="U56" i="1"/>
  <c r="AE56" i="1" s="1"/>
  <c r="AO56" i="1" s="1"/>
  <c r="AZ56" i="1" s="1"/>
  <c r="S69" i="1"/>
  <c r="Y29" i="1"/>
  <c r="AI29" i="1" s="1"/>
  <c r="P30" i="1"/>
  <c r="AW28" i="1"/>
  <c r="AD29" i="1"/>
  <c r="AN29" i="1" s="1"/>
  <c r="AA55" i="1"/>
  <c r="AK55" i="1" s="1"/>
  <c r="T43" i="1"/>
  <c r="AO54" i="1"/>
  <c r="AZ54" i="1" s="1"/>
  <c r="AS40" i="1"/>
  <c r="K43" i="1"/>
  <c r="N43" i="1"/>
  <c r="AO55" i="1"/>
  <c r="AZ55" i="1" s="1"/>
  <c r="AB16" i="1"/>
  <c r="O17" i="1"/>
  <c r="Z29" i="1"/>
  <c r="AJ29" i="1" s="1"/>
  <c r="S56" i="1"/>
  <c r="T69" i="1"/>
  <c r="X42" i="1"/>
  <c r="AH42" i="1" s="1"/>
  <c r="O30" i="1"/>
  <c r="AN41" i="1"/>
  <c r="AW40" i="1"/>
  <c r="AS8" i="1"/>
  <c r="AP58" i="1"/>
  <c r="AX12" i="1"/>
  <c r="AP46" i="1"/>
  <c r="AY12" i="1"/>
  <c r="AT12" i="1"/>
  <c r="AS12" i="1"/>
  <c r="AW12" i="1"/>
  <c r="AP14" i="1"/>
  <c r="AO13" i="1"/>
  <c r="AZ13" i="1" s="1"/>
  <c r="AN13" i="1"/>
  <c r="AJ13" i="1"/>
  <c r="AK13" i="1"/>
  <c r="AL13" i="1"/>
  <c r="AM13" i="1"/>
  <c r="AI13" i="1"/>
  <c r="E99" i="4"/>
  <c r="E103" i="4"/>
  <c r="E95" i="4"/>
  <c r="D94" i="4"/>
  <c r="D98" i="4"/>
  <c r="F23" i="4"/>
  <c r="R23" i="4" s="1"/>
  <c r="G22" i="4"/>
  <c r="I113" i="4"/>
  <c r="H119" i="4"/>
  <c r="B117" i="4"/>
  <c r="E108" i="4"/>
  <c r="B119" i="4"/>
  <c r="H122" i="4"/>
  <c r="B116" i="4"/>
  <c r="H116" i="4"/>
  <c r="E104" i="4"/>
  <c r="B114" i="4"/>
  <c r="Y45" i="5" l="1"/>
  <c r="W46" i="5"/>
  <c r="X45" i="5"/>
  <c r="AY29" i="1"/>
  <c r="G35" i="6" a="1"/>
  <c r="G54" i="6" s="1"/>
  <c r="AY41" i="1"/>
  <c r="AW55" i="1"/>
  <c r="AV54" i="1"/>
  <c r="AW42" i="1"/>
  <c r="BA40" i="1"/>
  <c r="AT55" i="1"/>
  <c r="AW41" i="1"/>
  <c r="BA28" i="1"/>
  <c r="BA12" i="1"/>
  <c r="AU41" i="1"/>
  <c r="AD69" i="1"/>
  <c r="AN69" i="1" s="1"/>
  <c r="AY54" i="1"/>
  <c r="AX54" i="1"/>
  <c r="AW54" i="1"/>
  <c r="AD68" i="1"/>
  <c r="AN68" i="1" s="1"/>
  <c r="AX55" i="1"/>
  <c r="AT41" i="1"/>
  <c r="AC56" i="1"/>
  <c r="AM56" i="1" s="1"/>
  <c r="AO30" i="1"/>
  <c r="AZ30" i="1" s="1"/>
  <c r="AT54" i="1"/>
  <c r="AS54" i="1"/>
  <c r="AC68" i="1"/>
  <c r="AM68" i="1" s="1"/>
  <c r="AY42" i="1"/>
  <c r="Z43" i="1"/>
  <c r="AJ43" i="1" s="1"/>
  <c r="X17" i="1"/>
  <c r="AH17" i="1" s="1"/>
  <c r="AS42" i="1"/>
  <c r="Z30" i="1"/>
  <c r="AJ30" i="1" s="1"/>
  <c r="AC17" i="1"/>
  <c r="R31" i="1"/>
  <c r="AT29" i="1"/>
  <c r="AC30" i="1"/>
  <c r="AM30" i="1" s="1"/>
  <c r="AX41" i="1"/>
  <c r="AB68" i="1"/>
  <c r="AL68" i="1" s="1"/>
  <c r="AD43" i="1"/>
  <c r="AN43" i="1" s="1"/>
  <c r="AY43" i="1" s="1"/>
  <c r="AU42" i="1"/>
  <c r="AV41" i="1"/>
  <c r="R44" i="1"/>
  <c r="AV29" i="1"/>
  <c r="X68" i="1"/>
  <c r="AH68" i="1" s="1"/>
  <c r="Z17" i="1"/>
  <c r="AA68" i="1"/>
  <c r="AK68" i="1" s="1"/>
  <c r="AW29" i="1"/>
  <c r="AX29" i="1"/>
  <c r="Q70" i="1"/>
  <c r="O44" i="1"/>
  <c r="Y43" i="1"/>
  <c r="AI43" i="1" s="1"/>
  <c r="AC43" i="1"/>
  <c r="AM43" i="1" s="1"/>
  <c r="T57" i="1"/>
  <c r="P18" i="1"/>
  <c r="O70" i="1"/>
  <c r="A72" i="1"/>
  <c r="F71" i="1"/>
  <c r="C71" i="1"/>
  <c r="I71" i="1"/>
  <c r="H71" i="1"/>
  <c r="J71" i="1"/>
  <c r="G71" i="1"/>
  <c r="D71" i="1"/>
  <c r="E71" i="1"/>
  <c r="AD56" i="1"/>
  <c r="AN56" i="1" s="1"/>
  <c r="AY56" i="1" s="1"/>
  <c r="S31" i="1"/>
  <c r="AY55" i="1"/>
  <c r="AX42" i="1"/>
  <c r="K18" i="1"/>
  <c r="N18" i="1"/>
  <c r="AB30" i="1"/>
  <c r="AL30" i="1" s="1"/>
  <c r="Q44" i="1"/>
  <c r="A46" i="1"/>
  <c r="I45" i="1"/>
  <c r="H45" i="1"/>
  <c r="J45" i="1"/>
  <c r="E45" i="1"/>
  <c r="G45" i="1"/>
  <c r="C45" i="1"/>
  <c r="D45" i="1"/>
  <c r="F45" i="1"/>
  <c r="AS55" i="1"/>
  <c r="U31" i="1"/>
  <c r="AE31" i="1" s="1"/>
  <c r="X69" i="1"/>
  <c r="AH69" i="1" s="1"/>
  <c r="AU29" i="1"/>
  <c r="AC69" i="1"/>
  <c r="AM69" i="1" s="1"/>
  <c r="Y17" i="1"/>
  <c r="N44" i="1"/>
  <c r="K44" i="1"/>
  <c r="Z69" i="1"/>
  <c r="AJ69" i="1" s="1"/>
  <c r="AP31" i="1"/>
  <c r="AP32" i="1" s="1"/>
  <c r="AP33" i="1" s="1"/>
  <c r="AO68" i="1"/>
  <c r="AZ68" i="1" s="1"/>
  <c r="J9" i="4" s="1"/>
  <c r="Q57" i="1"/>
  <c r="AV42" i="1"/>
  <c r="O18" i="1"/>
  <c r="R70" i="1"/>
  <c r="AB69" i="1"/>
  <c r="AL69" i="1" s="1"/>
  <c r="T31" i="1"/>
  <c r="AA56" i="1"/>
  <c r="AK56" i="1" s="1"/>
  <c r="AO69" i="1"/>
  <c r="AZ69" i="1" s="1"/>
  <c r="J10" i="4" s="1"/>
  <c r="U70" i="1"/>
  <c r="AE70" i="1" s="1"/>
  <c r="AO70" i="1" s="1"/>
  <c r="AZ70" i="1" s="1"/>
  <c r="X56" i="1"/>
  <c r="AH56" i="1" s="1"/>
  <c r="AU54" i="1"/>
  <c r="N31" i="1"/>
  <c r="K31" i="1"/>
  <c r="A33" i="1"/>
  <c r="J32" i="1"/>
  <c r="G32" i="1"/>
  <c r="C32" i="1"/>
  <c r="D32" i="1"/>
  <c r="E32" i="1"/>
  <c r="F32" i="1"/>
  <c r="H32" i="1"/>
  <c r="I32" i="1"/>
  <c r="Y69" i="1"/>
  <c r="AI69" i="1" s="1"/>
  <c r="N70" i="1"/>
  <c r="K70" i="1"/>
  <c r="O11" i="4" s="1"/>
  <c r="S18" i="1"/>
  <c r="AA69" i="1"/>
  <c r="AK69" i="1" s="1"/>
  <c r="T18" i="1"/>
  <c r="I19" i="1"/>
  <c r="J19" i="1"/>
  <c r="D19" i="1"/>
  <c r="E19" i="1"/>
  <c r="C19" i="1"/>
  <c r="G19" i="1"/>
  <c r="H19" i="1"/>
  <c r="F19" i="1"/>
  <c r="AV55" i="1"/>
  <c r="U44" i="1"/>
  <c r="AE44" i="1" s="1"/>
  <c r="AO44" i="1" s="1"/>
  <c r="AZ44" i="1" s="1"/>
  <c r="AB56" i="1"/>
  <c r="AL56" i="1" s="1"/>
  <c r="AA43" i="1"/>
  <c r="AK43" i="1" s="1"/>
  <c r="O57" i="1"/>
  <c r="A59" i="1"/>
  <c r="I58" i="1"/>
  <c r="H58" i="1"/>
  <c r="E58" i="1"/>
  <c r="J58" i="1"/>
  <c r="G58" i="1"/>
  <c r="D58" i="1"/>
  <c r="C58" i="1"/>
  <c r="F58" i="1"/>
  <c r="U18" i="1"/>
  <c r="AE18" i="1" s="1"/>
  <c r="AD17" i="1"/>
  <c r="P70" i="1"/>
  <c r="Q31" i="1"/>
  <c r="AA30" i="1"/>
  <c r="AK30" i="1" s="1"/>
  <c r="AA17" i="1"/>
  <c r="K57" i="1"/>
  <c r="N57" i="1"/>
  <c r="S57" i="1"/>
  <c r="Z56" i="1"/>
  <c r="AJ56" i="1" s="1"/>
  <c r="P57" i="1"/>
  <c r="Y30" i="1"/>
  <c r="AI30" i="1" s="1"/>
  <c r="X43" i="1"/>
  <c r="AH43" i="1" s="1"/>
  <c r="P44" i="1"/>
  <c r="Z68" i="1"/>
  <c r="AJ68" i="1" s="1"/>
  <c r="R57" i="1"/>
  <c r="Y56" i="1"/>
  <c r="AI56" i="1" s="1"/>
  <c r="Q18" i="1"/>
  <c r="S70" i="1"/>
  <c r="Y68" i="1"/>
  <c r="AI68" i="1" s="1"/>
  <c r="P31" i="1"/>
  <c r="AT42" i="1"/>
  <c r="AU55" i="1"/>
  <c r="T44" i="1"/>
  <c r="S44" i="1"/>
  <c r="X30" i="1"/>
  <c r="AH30" i="1" s="1"/>
  <c r="U57" i="1"/>
  <c r="AE57" i="1" s="1"/>
  <c r="AO57" i="1" s="1"/>
  <c r="AZ57" i="1" s="1"/>
  <c r="AB17" i="1"/>
  <c r="R18" i="1"/>
  <c r="AS29" i="1"/>
  <c r="T70" i="1"/>
  <c r="AD30" i="1"/>
  <c r="AN30" i="1" s="1"/>
  <c r="O31" i="1"/>
  <c r="AB43" i="1"/>
  <c r="AL43" i="1" s="1"/>
  <c r="AP59" i="1"/>
  <c r="AP72" i="1"/>
  <c r="AY13" i="1"/>
  <c r="AP47" i="1"/>
  <c r="AV13" i="1"/>
  <c r="AX13" i="1"/>
  <c r="AW13" i="1"/>
  <c r="AU13" i="1"/>
  <c r="AT13" i="1"/>
  <c r="AS13" i="1"/>
  <c r="AP15" i="1"/>
  <c r="AO14" i="1"/>
  <c r="AZ14" i="1" s="1"/>
  <c r="AK14" i="1"/>
  <c r="AL14" i="1"/>
  <c r="AM14" i="1"/>
  <c r="AJ14" i="1"/>
  <c r="AN14" i="1"/>
  <c r="AI14" i="1"/>
  <c r="E98" i="4"/>
  <c r="E94" i="4"/>
  <c r="D93" i="4"/>
  <c r="H22" i="4"/>
  <c r="B120" i="4"/>
  <c r="B118" i="4"/>
  <c r="H123" i="4"/>
  <c r="B121" i="4"/>
  <c r="B123" i="4"/>
  <c r="H120" i="4"/>
  <c r="I117" i="4"/>
  <c r="Y46" i="5" l="1"/>
  <c r="AB40" i="5" s="1"/>
  <c r="AC40" i="5" s="1"/>
  <c r="X46" i="5"/>
  <c r="AB38" i="5" s="1"/>
  <c r="AS68" i="1"/>
  <c r="G50" i="6"/>
  <c r="G55" i="6"/>
  <c r="G53" i="6"/>
  <c r="G56" i="6"/>
  <c r="G51" i="6"/>
  <c r="G49" i="6"/>
  <c r="G35" i="6"/>
  <c r="G48" i="6" s="1"/>
  <c r="G52" i="6"/>
  <c r="AW43" i="1"/>
  <c r="AW30" i="1"/>
  <c r="AX69" i="1"/>
  <c r="H10" i="4" s="1"/>
  <c r="AS43" i="1"/>
  <c r="AW56" i="1"/>
  <c r="AU56" i="1"/>
  <c r="BA29" i="1"/>
  <c r="AV69" i="1"/>
  <c r="F10" i="4" s="1"/>
  <c r="BA41" i="1"/>
  <c r="BA55" i="1"/>
  <c r="BA54" i="1"/>
  <c r="AT56" i="1"/>
  <c r="BA42" i="1"/>
  <c r="BA13" i="1"/>
  <c r="AU43" i="1"/>
  <c r="C9" i="4"/>
  <c r="G23" i="4" s="1"/>
  <c r="N147" i="4" s="1"/>
  <c r="AT43" i="1"/>
  <c r="AD44" i="1"/>
  <c r="AN44" i="1" s="1"/>
  <c r="AY44" i="1" s="1"/>
  <c r="Z31" i="1"/>
  <c r="AJ31" i="1" s="1"/>
  <c r="AT30" i="1"/>
  <c r="AX43" i="1"/>
  <c r="O19" i="1"/>
  <c r="AY30" i="1"/>
  <c r="AB44" i="1"/>
  <c r="AL44" i="1" s="1"/>
  <c r="AD31" i="1"/>
  <c r="AN31" i="1" s="1"/>
  <c r="AB31" i="1"/>
  <c r="AL31" i="1" s="1"/>
  <c r="AT69" i="1"/>
  <c r="D10" i="4" s="1"/>
  <c r="G24" i="4" s="1"/>
  <c r="AW69" i="1"/>
  <c r="G10" i="4" s="1"/>
  <c r="AY68" i="1"/>
  <c r="I9" i="4" s="1"/>
  <c r="AB70" i="1"/>
  <c r="AL70" i="1" s="1"/>
  <c r="AW68" i="1"/>
  <c r="G9" i="4" s="1"/>
  <c r="O32" i="1"/>
  <c r="R45" i="1"/>
  <c r="R71" i="1"/>
  <c r="T58" i="1"/>
  <c r="Y31" i="1"/>
  <c r="AI31" i="1" s="1"/>
  <c r="AA31" i="1"/>
  <c r="AK31" i="1" s="1"/>
  <c r="AV30" i="1"/>
  <c r="AU30" i="1"/>
  <c r="X18" i="1"/>
  <c r="AH18" i="1" s="1"/>
  <c r="Z18" i="1"/>
  <c r="P45" i="1"/>
  <c r="AU68" i="1"/>
  <c r="E9" i="4" s="1"/>
  <c r="N58" i="1"/>
  <c r="K58" i="1"/>
  <c r="Y57" i="1"/>
  <c r="AI57" i="1" s="1"/>
  <c r="T19" i="1"/>
  <c r="X70" i="1"/>
  <c r="AH70" i="1" s="1"/>
  <c r="R32" i="1"/>
  <c r="AS69" i="1"/>
  <c r="U45" i="1"/>
  <c r="AE45" i="1" s="1"/>
  <c r="AO45" i="1" s="1"/>
  <c r="AZ45" i="1" s="1"/>
  <c r="S71" i="1"/>
  <c r="U19" i="1"/>
  <c r="AE19" i="1" s="1"/>
  <c r="Q19" i="1"/>
  <c r="U32" i="1"/>
  <c r="AE32" i="1" s="1"/>
  <c r="AO32" i="1" s="1"/>
  <c r="AZ32" i="1" s="1"/>
  <c r="AA57" i="1"/>
  <c r="AK57" i="1" s="1"/>
  <c r="AO31" i="1"/>
  <c r="AZ31" i="1" s="1"/>
  <c r="S45" i="1"/>
  <c r="T71" i="1"/>
  <c r="AC57" i="1"/>
  <c r="AM57" i="1" s="1"/>
  <c r="Q58" i="1"/>
  <c r="A60" i="1"/>
  <c r="I59" i="1"/>
  <c r="H59" i="1"/>
  <c r="J59" i="1"/>
  <c r="C59" i="1"/>
  <c r="G59" i="1"/>
  <c r="D59" i="1"/>
  <c r="F59" i="1"/>
  <c r="E59" i="1"/>
  <c r="O58" i="1"/>
  <c r="AV43" i="1"/>
  <c r="AD18" i="1"/>
  <c r="AD70" i="1"/>
  <c r="AN70" i="1" s="1"/>
  <c r="AY70" i="1" s="1"/>
  <c r="AS30" i="1"/>
  <c r="AT68" i="1"/>
  <c r="D9" i="4" s="1"/>
  <c r="H23" i="4" s="1"/>
  <c r="T23" i="4" s="1"/>
  <c r="R58" i="1"/>
  <c r="S19" i="1"/>
  <c r="T32" i="1"/>
  <c r="J33" i="1"/>
  <c r="G33" i="1"/>
  <c r="D33" i="1"/>
  <c r="E33" i="1"/>
  <c r="F33" i="1"/>
  <c r="C33" i="1"/>
  <c r="I33" i="1"/>
  <c r="H33" i="1"/>
  <c r="T45" i="1"/>
  <c r="AC31" i="1"/>
  <c r="AM31" i="1" s="1"/>
  <c r="N71" i="1"/>
  <c r="K71" i="1"/>
  <c r="O12" i="4" s="1"/>
  <c r="Y44" i="1"/>
  <c r="AI44" i="1" s="1"/>
  <c r="AX30" i="1"/>
  <c r="AS56" i="1"/>
  <c r="N32" i="1"/>
  <c r="K32" i="1"/>
  <c r="Y18" i="1"/>
  <c r="X44" i="1"/>
  <c r="AH44" i="1" s="1"/>
  <c r="AD57" i="1"/>
  <c r="AN57" i="1" s="1"/>
  <c r="AY57" i="1" s="1"/>
  <c r="AC44" i="1"/>
  <c r="AM44" i="1" s="1"/>
  <c r="AC70" i="1"/>
  <c r="AM70" i="1" s="1"/>
  <c r="U58" i="1"/>
  <c r="AE58" i="1" s="1"/>
  <c r="AO58" i="1" s="1"/>
  <c r="AZ58" i="1" s="1"/>
  <c r="R19" i="1"/>
  <c r="S32" i="1"/>
  <c r="AV56" i="1"/>
  <c r="Q45" i="1"/>
  <c r="A47" i="1"/>
  <c r="J46" i="1"/>
  <c r="G46" i="1"/>
  <c r="E46" i="1"/>
  <c r="D46" i="1"/>
  <c r="F46" i="1"/>
  <c r="C46" i="1"/>
  <c r="I46" i="1"/>
  <c r="H46" i="1"/>
  <c r="Q71" i="1"/>
  <c r="AA70" i="1"/>
  <c r="AK70" i="1" s="1"/>
  <c r="AY69" i="1"/>
  <c r="I10" i="4" s="1"/>
  <c r="U71" i="1"/>
  <c r="AE71" i="1" s="1"/>
  <c r="AO71" i="1" s="1"/>
  <c r="AZ71" i="1" s="1"/>
  <c r="J11" i="4"/>
  <c r="Z44" i="1"/>
  <c r="AJ44" i="1" s="1"/>
  <c r="AB18" i="1"/>
  <c r="Z57" i="1"/>
  <c r="AJ57" i="1" s="1"/>
  <c r="Z70" i="1"/>
  <c r="AJ70" i="1" s="1"/>
  <c r="P58" i="1"/>
  <c r="AX68" i="1"/>
  <c r="H9" i="4" s="1"/>
  <c r="K19" i="1"/>
  <c r="N19" i="1"/>
  <c r="Q32" i="1"/>
  <c r="X31" i="1"/>
  <c r="AH31" i="1" s="1"/>
  <c r="O45" i="1"/>
  <c r="AA44" i="1"/>
  <c r="AK44" i="1" s="1"/>
  <c r="P71" i="1"/>
  <c r="A73" i="1"/>
  <c r="I72" i="1"/>
  <c r="H72" i="1"/>
  <c r="J72" i="1"/>
  <c r="G72" i="1"/>
  <c r="D72" i="1"/>
  <c r="C72" i="1"/>
  <c r="E72" i="1"/>
  <c r="F72" i="1"/>
  <c r="AV68" i="1"/>
  <c r="F9" i="4" s="1"/>
  <c r="AB57" i="1"/>
  <c r="AL57" i="1" s="1"/>
  <c r="X57" i="1"/>
  <c r="AH57" i="1" s="1"/>
  <c r="AA18" i="1"/>
  <c r="S58" i="1"/>
  <c r="P19" i="1"/>
  <c r="AC18" i="1"/>
  <c r="P32" i="1"/>
  <c r="AU69" i="1"/>
  <c r="E10" i="4" s="1"/>
  <c r="H24" i="4" s="1"/>
  <c r="N45" i="1"/>
  <c r="K45" i="1"/>
  <c r="O71" i="1"/>
  <c r="Y70" i="1"/>
  <c r="AI70" i="1" s="1"/>
  <c r="AX56" i="1"/>
  <c r="AP60" i="1"/>
  <c r="AP73" i="1"/>
  <c r="AX14" i="1"/>
  <c r="AU14" i="1"/>
  <c r="AW14" i="1"/>
  <c r="AY14" i="1"/>
  <c r="AV14" i="1"/>
  <c r="AT14" i="1"/>
  <c r="AS14" i="1"/>
  <c r="AP16" i="1"/>
  <c r="AO15" i="1"/>
  <c r="AZ15" i="1" s="1"/>
  <c r="AJ15" i="1"/>
  <c r="AN15" i="1"/>
  <c r="AK15" i="1"/>
  <c r="AL15" i="1"/>
  <c r="AI15" i="1"/>
  <c r="AM15" i="1"/>
  <c r="E93" i="4"/>
  <c r="H30" i="4"/>
  <c r="T30" i="4" s="1"/>
  <c r="I22" i="4"/>
  <c r="B122" i="4"/>
  <c r="H124" i="4"/>
  <c r="B124" i="4"/>
  <c r="I121" i="4"/>
  <c r="AC38" i="5" l="1"/>
  <c r="AB39" i="5"/>
  <c r="AC39" i="5" s="1"/>
  <c r="H35" i="6" a="1"/>
  <c r="H50" i="6" s="1"/>
  <c r="AW31" i="1"/>
  <c r="AX44" i="1"/>
  <c r="AV44" i="1"/>
  <c r="AV70" i="1"/>
  <c r="F11" i="4" s="1"/>
  <c r="H25" i="4" s="1"/>
  <c r="BA69" i="1"/>
  <c r="AV31" i="1"/>
  <c r="BA56" i="1"/>
  <c r="BA43" i="1"/>
  <c r="BA68" i="1"/>
  <c r="AU57" i="1"/>
  <c r="AT31" i="1"/>
  <c r="I11" i="4"/>
  <c r="S23" i="4"/>
  <c r="BA30" i="1"/>
  <c r="BA14" i="1"/>
  <c r="AY31" i="1"/>
  <c r="AT44" i="1"/>
  <c r="C10" i="4"/>
  <c r="F24" i="4" s="1"/>
  <c r="D97" i="4" s="1"/>
  <c r="E97" i="4" s="1"/>
  <c r="AW57" i="1"/>
  <c r="Y45" i="1"/>
  <c r="AI45" i="1" s="1"/>
  <c r="AD45" i="1"/>
  <c r="AN45" i="1" s="1"/>
  <c r="AY45" i="1" s="1"/>
  <c r="AT57" i="1"/>
  <c r="AS31" i="1"/>
  <c r="AX70" i="1"/>
  <c r="H11" i="4" s="1"/>
  <c r="AU31" i="1"/>
  <c r="AU70" i="1"/>
  <c r="E11" i="4" s="1"/>
  <c r="G25" i="4" s="1"/>
  <c r="AC58" i="1"/>
  <c r="AM58" i="1" s="1"/>
  <c r="Y32" i="1"/>
  <c r="AI32" i="1" s="1"/>
  <c r="AC32" i="1"/>
  <c r="AM32" i="1" s="1"/>
  <c r="AX31" i="1"/>
  <c r="AB45" i="1"/>
  <c r="AL45" i="1" s="1"/>
  <c r="X45" i="1"/>
  <c r="AH45" i="1" s="1"/>
  <c r="AS57" i="1"/>
  <c r="Q46" i="1"/>
  <c r="AS44" i="1"/>
  <c r="P72" i="1"/>
  <c r="Z71" i="1"/>
  <c r="AJ71" i="1" s="1"/>
  <c r="AS70" i="1"/>
  <c r="Y71" i="1"/>
  <c r="AI71" i="1" s="1"/>
  <c r="T59" i="1"/>
  <c r="N72" i="1"/>
  <c r="K72" i="1"/>
  <c r="Z58" i="1"/>
  <c r="AJ58" i="1" s="1"/>
  <c r="O46" i="1"/>
  <c r="AB19" i="1"/>
  <c r="Q33" i="1"/>
  <c r="P59" i="1"/>
  <c r="A61" i="1"/>
  <c r="E60" i="1"/>
  <c r="J60" i="1"/>
  <c r="G60" i="1"/>
  <c r="D60" i="1"/>
  <c r="F60" i="1"/>
  <c r="C60" i="1"/>
  <c r="I60" i="1"/>
  <c r="H60" i="1"/>
  <c r="AA19" i="1"/>
  <c r="AD19" i="1"/>
  <c r="AB58" i="1"/>
  <c r="AL58" i="1" s="1"/>
  <c r="P33" i="1"/>
  <c r="AA58" i="1"/>
  <c r="AK58" i="1" s="1"/>
  <c r="R72" i="1"/>
  <c r="R46" i="1"/>
  <c r="X71" i="1"/>
  <c r="AH71" i="1" s="1"/>
  <c r="O33" i="1"/>
  <c r="O59" i="1"/>
  <c r="AX57" i="1"/>
  <c r="AD58" i="1"/>
  <c r="AN58" i="1" s="1"/>
  <c r="AY58" i="1" s="1"/>
  <c r="Q59" i="1"/>
  <c r="U72" i="1"/>
  <c r="AE72" i="1" s="1"/>
  <c r="AO72" i="1" s="1"/>
  <c r="AZ72" i="1" s="1"/>
  <c r="AA71" i="1"/>
  <c r="AK71" i="1" s="1"/>
  <c r="U46" i="1"/>
  <c r="AE46" i="1" s="1"/>
  <c r="AO46" i="1" s="1"/>
  <c r="AZ46" i="1" s="1"/>
  <c r="R33" i="1"/>
  <c r="R59" i="1"/>
  <c r="AD71" i="1"/>
  <c r="AN71" i="1" s="1"/>
  <c r="AY71" i="1" s="1"/>
  <c r="AC71" i="1"/>
  <c r="AM71" i="1" s="1"/>
  <c r="X58" i="1"/>
  <c r="AH58" i="1" s="1"/>
  <c r="N33" i="1"/>
  <c r="K33" i="1"/>
  <c r="J12" i="4"/>
  <c r="S72" i="1"/>
  <c r="AA32" i="1"/>
  <c r="AK32" i="1" s="1"/>
  <c r="U33" i="1"/>
  <c r="AE33" i="1" s="1"/>
  <c r="AO33" i="1" s="1"/>
  <c r="AZ33" i="1" s="1"/>
  <c r="N59" i="1"/>
  <c r="K59" i="1"/>
  <c r="AC45" i="1"/>
  <c r="AM45" i="1" s="1"/>
  <c r="AW70" i="1"/>
  <c r="G11" i="4" s="1"/>
  <c r="I25" i="4" s="1"/>
  <c r="U25" i="4" s="1"/>
  <c r="O72" i="1"/>
  <c r="S46" i="1"/>
  <c r="J47" i="1"/>
  <c r="E47" i="1"/>
  <c r="C47" i="1"/>
  <c r="G47" i="1"/>
  <c r="D47" i="1"/>
  <c r="F47" i="1"/>
  <c r="I47" i="1"/>
  <c r="H47" i="1"/>
  <c r="X32" i="1"/>
  <c r="AH32" i="1" s="1"/>
  <c r="AB71" i="1"/>
  <c r="AL71" i="1" s="1"/>
  <c r="T72" i="1"/>
  <c r="X19" i="1"/>
  <c r="AH19" i="1" s="1"/>
  <c r="AU44" i="1"/>
  <c r="T46" i="1"/>
  <c r="AA45" i="1"/>
  <c r="AK45" i="1" s="1"/>
  <c r="S33" i="1"/>
  <c r="AD32" i="1"/>
  <c r="AN32" i="1" s="1"/>
  <c r="AY32" i="1" s="1"/>
  <c r="U59" i="1"/>
  <c r="AE59" i="1" s="1"/>
  <c r="AO59" i="1" s="1"/>
  <c r="AZ59" i="1" s="1"/>
  <c r="AW44" i="1"/>
  <c r="P46" i="1"/>
  <c r="Z32" i="1"/>
  <c r="AJ32" i="1" s="1"/>
  <c r="AT70" i="1"/>
  <c r="D11" i="4" s="1"/>
  <c r="F25" i="4" s="1"/>
  <c r="Z19" i="1"/>
  <c r="Q72" i="1"/>
  <c r="A74" i="1"/>
  <c r="C73" i="1"/>
  <c r="I73" i="1"/>
  <c r="H73" i="1"/>
  <c r="J73" i="1"/>
  <c r="E73" i="1"/>
  <c r="G73" i="1"/>
  <c r="D73" i="1"/>
  <c r="F73" i="1"/>
  <c r="N46" i="1"/>
  <c r="K46" i="1"/>
  <c r="Y19" i="1"/>
  <c r="T33" i="1"/>
  <c r="AC19" i="1"/>
  <c r="Y58" i="1"/>
  <c r="AI58" i="1" s="1"/>
  <c r="S59" i="1"/>
  <c r="AV57" i="1"/>
  <c r="AB32" i="1"/>
  <c r="AL32" i="1" s="1"/>
  <c r="Z45" i="1"/>
  <c r="AJ45" i="1" s="1"/>
  <c r="N148" i="4"/>
  <c r="AP74" i="1"/>
  <c r="AP61" i="1"/>
  <c r="AX15" i="1"/>
  <c r="AY15" i="1"/>
  <c r="AV15" i="1"/>
  <c r="AU15" i="1"/>
  <c r="AT15" i="1"/>
  <c r="AS15" i="1"/>
  <c r="AW15" i="1"/>
  <c r="AP17" i="1"/>
  <c r="AO16" i="1"/>
  <c r="AZ16" i="1" s="1"/>
  <c r="AI16" i="1"/>
  <c r="AM16" i="1"/>
  <c r="AJ16" i="1"/>
  <c r="AN16" i="1"/>
  <c r="AK16" i="1"/>
  <c r="AL16" i="1"/>
  <c r="J93" i="4"/>
  <c r="J97" i="4"/>
  <c r="I24" i="4"/>
  <c r="I29" i="4"/>
  <c r="U29" i="4" s="1"/>
  <c r="I30" i="4"/>
  <c r="U30" i="4" s="1"/>
  <c r="I23" i="4"/>
  <c r="U23" i="4" s="1"/>
  <c r="J22" i="4"/>
  <c r="J121" i="4"/>
  <c r="AV45" i="1" l="1"/>
  <c r="AW58" i="1"/>
  <c r="H53" i="6"/>
  <c r="H49" i="6"/>
  <c r="H54" i="6"/>
  <c r="H56" i="6"/>
  <c r="H51" i="6"/>
  <c r="H35" i="6"/>
  <c r="H48" i="6" s="1"/>
  <c r="H52" i="6"/>
  <c r="H55" i="6"/>
  <c r="AX45" i="1"/>
  <c r="AD46" i="1"/>
  <c r="AN46" i="1" s="1"/>
  <c r="AY46" i="1" s="1"/>
  <c r="AS32" i="1"/>
  <c r="AW32" i="1"/>
  <c r="BA57" i="1"/>
  <c r="AS45" i="1"/>
  <c r="BA70" i="1"/>
  <c r="BA31" i="1"/>
  <c r="BA44" i="1"/>
  <c r="BA15" i="1"/>
  <c r="C11" i="4"/>
  <c r="E25" i="4" s="1"/>
  <c r="Q25" i="4" s="1"/>
  <c r="J13" i="4"/>
  <c r="J27" i="4" s="1"/>
  <c r="AU45" i="1"/>
  <c r="AB46" i="1"/>
  <c r="AL46" i="1" s="1"/>
  <c r="AW71" i="1"/>
  <c r="G12" i="4" s="1"/>
  <c r="H26" i="4" s="1"/>
  <c r="P47" i="1"/>
  <c r="AS71" i="1"/>
  <c r="AA72" i="1"/>
  <c r="AK72" i="1" s="1"/>
  <c r="R73" i="1"/>
  <c r="AU58" i="1"/>
  <c r="U60" i="1"/>
  <c r="AE60" i="1" s="1"/>
  <c r="AO60" i="1" s="1"/>
  <c r="AZ60" i="1" s="1"/>
  <c r="AD33" i="1"/>
  <c r="AN33" i="1" s="1"/>
  <c r="AY33" i="1" s="1"/>
  <c r="AU32" i="1"/>
  <c r="AD72" i="1"/>
  <c r="AN72" i="1" s="1"/>
  <c r="AY72" i="1" s="1"/>
  <c r="AX71" i="1"/>
  <c r="H12" i="4" s="1"/>
  <c r="I26" i="4" s="1"/>
  <c r="U26" i="4" s="1"/>
  <c r="AW45" i="1"/>
  <c r="AT71" i="1"/>
  <c r="D12" i="4" s="1"/>
  <c r="E26" i="4" s="1"/>
  <c r="P73" i="1"/>
  <c r="AA59" i="1"/>
  <c r="AK59" i="1" s="1"/>
  <c r="I12" i="4"/>
  <c r="J26" i="4" s="1"/>
  <c r="V26" i="4" s="1"/>
  <c r="U73" i="1"/>
  <c r="AE73" i="1" s="1"/>
  <c r="AO73" i="1" s="1"/>
  <c r="AZ73" i="1" s="1"/>
  <c r="AC33" i="1"/>
  <c r="AM33" i="1" s="1"/>
  <c r="S47" i="1"/>
  <c r="AC46" i="1"/>
  <c r="AM46" i="1" s="1"/>
  <c r="AV32" i="1"/>
  <c r="AB59" i="1"/>
  <c r="AL59" i="1" s="1"/>
  <c r="AB72" i="1"/>
  <c r="AL72" i="1" s="1"/>
  <c r="P60" i="1"/>
  <c r="X72" i="1"/>
  <c r="AH72" i="1" s="1"/>
  <c r="S73" i="1"/>
  <c r="T47" i="1"/>
  <c r="AT45" i="1"/>
  <c r="AC72" i="1"/>
  <c r="AM72" i="1" s="1"/>
  <c r="AB33" i="1"/>
  <c r="AL33" i="1" s="1"/>
  <c r="AD59" i="1"/>
  <c r="AN59" i="1" s="1"/>
  <c r="AY59" i="1" s="1"/>
  <c r="S60" i="1"/>
  <c r="J61" i="1"/>
  <c r="G61" i="1"/>
  <c r="C61" i="1"/>
  <c r="D61" i="1"/>
  <c r="F61" i="1"/>
  <c r="I61" i="1"/>
  <c r="H61" i="1"/>
  <c r="E61" i="1"/>
  <c r="X59" i="1"/>
  <c r="AH59" i="1" s="1"/>
  <c r="X46" i="1"/>
  <c r="AH46" i="1" s="1"/>
  <c r="T73" i="1"/>
  <c r="Q47" i="1"/>
  <c r="Y72" i="1"/>
  <c r="AI72" i="1" s="1"/>
  <c r="AV58" i="1"/>
  <c r="T60" i="1"/>
  <c r="AD60" i="1" s="1"/>
  <c r="AN60" i="1" s="1"/>
  <c r="AY60" i="1" s="1"/>
  <c r="Z59" i="1"/>
  <c r="AJ59" i="1" s="1"/>
  <c r="Z72" i="1"/>
  <c r="AJ72" i="1" s="1"/>
  <c r="R60" i="1"/>
  <c r="N73" i="1"/>
  <c r="K73" i="1"/>
  <c r="Z46" i="1"/>
  <c r="AJ46" i="1" s="1"/>
  <c r="O47" i="1"/>
  <c r="AV71" i="1"/>
  <c r="F12" i="4" s="1"/>
  <c r="G26" i="4" s="1"/>
  <c r="Z33" i="1"/>
  <c r="AJ33" i="1" s="1"/>
  <c r="N60" i="1"/>
  <c r="K60" i="1"/>
  <c r="AA33" i="1"/>
  <c r="AK33" i="1" s="1"/>
  <c r="AX58" i="1"/>
  <c r="U47" i="1"/>
  <c r="AE47" i="1" s="1"/>
  <c r="AO47" i="1" s="1"/>
  <c r="AZ47" i="1" s="1"/>
  <c r="AC59" i="1"/>
  <c r="AM59" i="1" s="1"/>
  <c r="Q73" i="1"/>
  <c r="A75" i="1"/>
  <c r="E74" i="1"/>
  <c r="J74" i="1"/>
  <c r="G74" i="1"/>
  <c r="D74" i="1"/>
  <c r="F74" i="1"/>
  <c r="C74" i="1"/>
  <c r="I74" i="1"/>
  <c r="H74" i="1"/>
  <c r="AA46" i="1"/>
  <c r="AK46" i="1" s="1"/>
  <c r="R47" i="1"/>
  <c r="X33" i="1"/>
  <c r="AH33" i="1" s="1"/>
  <c r="Y59" i="1"/>
  <c r="AI59" i="1" s="1"/>
  <c r="Q60" i="1"/>
  <c r="AU71" i="1"/>
  <c r="E12" i="4" s="1"/>
  <c r="F26" i="4" s="1"/>
  <c r="AT58" i="1"/>
  <c r="O73" i="1"/>
  <c r="N47" i="1"/>
  <c r="K47" i="1"/>
  <c r="AS58" i="1"/>
  <c r="Y33" i="1"/>
  <c r="AI33" i="1" s="1"/>
  <c r="AX32" i="1"/>
  <c r="O60" i="1"/>
  <c r="Y46" i="1"/>
  <c r="AI46" i="1" s="1"/>
  <c r="AT32" i="1"/>
  <c r="S25" i="4"/>
  <c r="N149" i="4"/>
  <c r="R25" i="4"/>
  <c r="D101" i="4"/>
  <c r="E101" i="4" s="1"/>
  <c r="T25" i="4"/>
  <c r="J101" i="4"/>
  <c r="K101" i="4" s="1"/>
  <c r="AP75" i="1"/>
  <c r="AX16" i="1"/>
  <c r="AV16" i="1"/>
  <c r="AT16" i="1"/>
  <c r="AS16" i="1"/>
  <c r="AW16" i="1"/>
  <c r="AY16" i="1"/>
  <c r="AU16" i="1"/>
  <c r="AP18" i="1"/>
  <c r="AO17" i="1"/>
  <c r="AZ17" i="1" s="1"/>
  <c r="AM17" i="1"/>
  <c r="AI17" i="1"/>
  <c r="AN17" i="1"/>
  <c r="AK17" i="1"/>
  <c r="AJ17" i="1"/>
  <c r="AL17" i="1"/>
  <c r="K97" i="4"/>
  <c r="K93" i="4"/>
  <c r="J102" i="4"/>
  <c r="J122" i="4"/>
  <c r="J118" i="4"/>
  <c r="J25" i="4"/>
  <c r="V25" i="4" s="1"/>
  <c r="J28" i="4"/>
  <c r="V28" i="4" s="1"/>
  <c r="J24" i="4"/>
  <c r="J30" i="4"/>
  <c r="V30" i="4" s="1"/>
  <c r="J29" i="4"/>
  <c r="V29" i="4" s="1"/>
  <c r="J23" i="4"/>
  <c r="V23" i="4" s="1"/>
  <c r="K22" i="4"/>
  <c r="J94" i="4"/>
  <c r="K121" i="4"/>
  <c r="AX59" i="1" l="1"/>
  <c r="AU59" i="1"/>
  <c r="AX46" i="1"/>
  <c r="I35" i="6" a="1"/>
  <c r="I53" i="6" s="1"/>
  <c r="AV46" i="1"/>
  <c r="J14" i="4"/>
  <c r="I28" i="4" s="1"/>
  <c r="AT59" i="1"/>
  <c r="BA32" i="1"/>
  <c r="BA58" i="1"/>
  <c r="BA71" i="1"/>
  <c r="BA45" i="1"/>
  <c r="D102" i="4"/>
  <c r="E102" i="4" s="1"/>
  <c r="BA16" i="1"/>
  <c r="C12" i="4"/>
  <c r="D26" i="4" s="1"/>
  <c r="P26" i="4" s="1"/>
  <c r="AB73" i="1"/>
  <c r="AL73" i="1" s="1"/>
  <c r="AT33" i="1"/>
  <c r="AV33" i="1"/>
  <c r="AW46" i="1"/>
  <c r="AU72" i="1"/>
  <c r="E13" i="4" s="1"/>
  <c r="E27" i="4" s="1"/>
  <c r="AB47" i="1"/>
  <c r="AL47" i="1" s="1"/>
  <c r="AX33" i="1"/>
  <c r="AS33" i="1"/>
  <c r="Z47" i="1"/>
  <c r="AJ47" i="1" s="1"/>
  <c r="AS72" i="1"/>
  <c r="P61" i="1"/>
  <c r="P74" i="1"/>
  <c r="X47" i="1"/>
  <c r="AH47" i="1" s="1"/>
  <c r="Y73" i="1"/>
  <c r="AI73" i="1" s="1"/>
  <c r="I13" i="4"/>
  <c r="I27" i="4" s="1"/>
  <c r="AX72" i="1"/>
  <c r="H13" i="4" s="1"/>
  <c r="H27" i="4" s="1"/>
  <c r="AT46" i="1"/>
  <c r="T74" i="1"/>
  <c r="AA73" i="1"/>
  <c r="AK73" i="1" s="1"/>
  <c r="X73" i="1"/>
  <c r="AH73" i="1" s="1"/>
  <c r="AT72" i="1"/>
  <c r="D13" i="4" s="1"/>
  <c r="D27" i="4" s="1"/>
  <c r="S61" i="1"/>
  <c r="Z60" i="1"/>
  <c r="AJ60" i="1" s="1"/>
  <c r="S74" i="1"/>
  <c r="AC60" i="1"/>
  <c r="AM60" i="1" s="1"/>
  <c r="AX60" i="1" s="1"/>
  <c r="Y60" i="1"/>
  <c r="AI60" i="1" s="1"/>
  <c r="N74" i="1"/>
  <c r="K74" i="1"/>
  <c r="O15" i="4" s="1"/>
  <c r="AA47" i="1"/>
  <c r="AK47" i="1" s="1"/>
  <c r="T61" i="1"/>
  <c r="AW33" i="1"/>
  <c r="AW72" i="1"/>
  <c r="G13" i="4" s="1"/>
  <c r="G27" i="4" s="1"/>
  <c r="AV72" i="1"/>
  <c r="F13" i="4" s="1"/>
  <c r="F27" i="4" s="1"/>
  <c r="AA60" i="1"/>
  <c r="AK60" i="1" s="1"/>
  <c r="Q74" i="1"/>
  <c r="X60" i="1"/>
  <c r="AH60" i="1" s="1"/>
  <c r="AD73" i="1"/>
  <c r="AN73" i="1" s="1"/>
  <c r="AY73" i="1" s="1"/>
  <c r="Q61" i="1"/>
  <c r="AW59" i="1"/>
  <c r="AV59" i="1"/>
  <c r="U61" i="1"/>
  <c r="AE61" i="1" s="1"/>
  <c r="AO61" i="1" s="1"/>
  <c r="AZ61" i="1" s="1"/>
  <c r="J75" i="1"/>
  <c r="E75" i="1"/>
  <c r="G75" i="1"/>
  <c r="D75" i="1"/>
  <c r="C75" i="1"/>
  <c r="F75" i="1"/>
  <c r="I75" i="1"/>
  <c r="H75" i="1"/>
  <c r="O74" i="1"/>
  <c r="AU33" i="1"/>
  <c r="AB60" i="1"/>
  <c r="AL60" i="1" s="1"/>
  <c r="AS46" i="1"/>
  <c r="O61" i="1"/>
  <c r="Z73" i="1"/>
  <c r="AJ73" i="1" s="1"/>
  <c r="R74" i="1"/>
  <c r="N61" i="1"/>
  <c r="K61" i="1"/>
  <c r="AD47" i="1"/>
  <c r="AN47" i="1" s="1"/>
  <c r="AY47" i="1" s="1"/>
  <c r="AU46" i="1"/>
  <c r="U74" i="1"/>
  <c r="AE74" i="1" s="1"/>
  <c r="AO74" i="1" s="1"/>
  <c r="AZ74" i="1" s="1"/>
  <c r="Y47" i="1"/>
  <c r="AI47" i="1" s="1"/>
  <c r="AS59" i="1"/>
  <c r="R61" i="1"/>
  <c r="AC73" i="1"/>
  <c r="AM73" i="1" s="1"/>
  <c r="AC47" i="1"/>
  <c r="AM47" i="1" s="1"/>
  <c r="S26" i="4"/>
  <c r="N150" i="4"/>
  <c r="R26" i="4"/>
  <c r="D105" i="4"/>
  <c r="E105" i="4" s="1"/>
  <c r="T26" i="4"/>
  <c r="J105" i="4"/>
  <c r="K105" i="4" s="1"/>
  <c r="D106" i="4"/>
  <c r="E106" i="4" s="1"/>
  <c r="Q26" i="4"/>
  <c r="AX17" i="1"/>
  <c r="AW17" i="1"/>
  <c r="AU17" i="1"/>
  <c r="AV17" i="1"/>
  <c r="AY17" i="1"/>
  <c r="AT17" i="1"/>
  <c r="AS17" i="1"/>
  <c r="AP19" i="1"/>
  <c r="AO18" i="1"/>
  <c r="AZ18" i="1" s="1"/>
  <c r="AK18" i="1"/>
  <c r="AN18" i="1"/>
  <c r="AJ18" i="1"/>
  <c r="AM18" i="1"/>
  <c r="AI18" i="1"/>
  <c r="AL18" i="1"/>
  <c r="K118" i="4"/>
  <c r="K122" i="4"/>
  <c r="K102" i="4"/>
  <c r="K94" i="4"/>
  <c r="J111" i="4"/>
  <c r="J123" i="4"/>
  <c r="J115" i="4"/>
  <c r="J107" i="4"/>
  <c r="J119" i="4"/>
  <c r="K26" i="4"/>
  <c r="W26" i="4" s="1"/>
  <c r="K30" i="4"/>
  <c r="W30" i="4" s="1"/>
  <c r="K25" i="4"/>
  <c r="W25" i="4" s="1"/>
  <c r="K23" i="4"/>
  <c r="W23" i="4" s="1"/>
  <c r="K24" i="4"/>
  <c r="K29" i="4"/>
  <c r="W29" i="4" s="1"/>
  <c r="K27" i="4"/>
  <c r="W27" i="4" s="1"/>
  <c r="K28" i="4"/>
  <c r="W28" i="4" s="1"/>
  <c r="J95" i="4"/>
  <c r="I56" i="6" l="1"/>
  <c r="I54" i="6"/>
  <c r="I35" i="6"/>
  <c r="J35" i="6" s="1" a="1"/>
  <c r="I52" i="6"/>
  <c r="I51" i="6"/>
  <c r="I50" i="6"/>
  <c r="I55" i="6"/>
  <c r="I49" i="6"/>
  <c r="BA59" i="1"/>
  <c r="AW47" i="1"/>
  <c r="AU47" i="1"/>
  <c r="BA46" i="1"/>
  <c r="AS60" i="1"/>
  <c r="AT47" i="1"/>
  <c r="BA72" i="1"/>
  <c r="AW60" i="1"/>
  <c r="AV73" i="1"/>
  <c r="F14" i="4" s="1"/>
  <c r="E28" i="4" s="1"/>
  <c r="I14" i="4"/>
  <c r="H28" i="4" s="1"/>
  <c r="AX73" i="1"/>
  <c r="H14" i="4" s="1"/>
  <c r="G28" i="4" s="1"/>
  <c r="N152" i="4" s="1"/>
  <c r="D107" i="4"/>
  <c r="E107" i="4" s="1"/>
  <c r="AT60" i="1"/>
  <c r="BA17" i="1"/>
  <c r="BA33" i="1"/>
  <c r="AS73" i="1"/>
  <c r="C14" i="4" s="1"/>
  <c r="C13" i="4"/>
  <c r="C27" i="4" s="1"/>
  <c r="D112" i="4" s="1"/>
  <c r="E112" i="4" s="1"/>
  <c r="AV47" i="1"/>
  <c r="R75" i="1"/>
  <c r="AB61" i="1"/>
  <c r="AL61" i="1" s="1"/>
  <c r="X61" i="1"/>
  <c r="AH61" i="1" s="1"/>
  <c r="AV60" i="1"/>
  <c r="P75" i="1"/>
  <c r="AA74" i="1"/>
  <c r="AK74" i="1" s="1"/>
  <c r="X74" i="1"/>
  <c r="AH74" i="1" s="1"/>
  <c r="J15" i="4"/>
  <c r="H29" i="4" s="1"/>
  <c r="AX47" i="1"/>
  <c r="AB74" i="1"/>
  <c r="AL74" i="1" s="1"/>
  <c r="Y61" i="1"/>
  <c r="AI61" i="1" s="1"/>
  <c r="S75" i="1"/>
  <c r="AD74" i="1"/>
  <c r="AN74" i="1" s="1"/>
  <c r="AY74" i="1" s="1"/>
  <c r="T75" i="1"/>
  <c r="Q75" i="1"/>
  <c r="AC74" i="1"/>
  <c r="AM74" i="1" s="1"/>
  <c r="U75" i="1"/>
  <c r="AE75" i="1" s="1"/>
  <c r="AO75" i="1" s="1"/>
  <c r="AZ75" i="1" s="1"/>
  <c r="AS47" i="1"/>
  <c r="N75" i="1"/>
  <c r="K75" i="1"/>
  <c r="AA61" i="1"/>
  <c r="AK61" i="1" s="1"/>
  <c r="AD61" i="1"/>
  <c r="AN61" i="1" s="1"/>
  <c r="AY61" i="1" s="1"/>
  <c r="AU60" i="1"/>
  <c r="Z61" i="1"/>
  <c r="AJ61" i="1" s="1"/>
  <c r="Z74" i="1"/>
  <c r="AJ74" i="1" s="1"/>
  <c r="AT73" i="1"/>
  <c r="D14" i="4" s="1"/>
  <c r="C28" i="4" s="1"/>
  <c r="AU73" i="1"/>
  <c r="E14" i="4" s="1"/>
  <c r="D28" i="4" s="1"/>
  <c r="Y74" i="1"/>
  <c r="AI74" i="1" s="1"/>
  <c r="O75" i="1"/>
  <c r="AC61" i="1"/>
  <c r="AM61" i="1" s="1"/>
  <c r="AW73" i="1"/>
  <c r="G14" i="4" s="1"/>
  <c r="F28" i="4" s="1"/>
  <c r="D110" i="4"/>
  <c r="E110" i="4" s="1"/>
  <c r="J114" i="4"/>
  <c r="K114" i="4" s="1"/>
  <c r="N151" i="4"/>
  <c r="D111" i="4"/>
  <c r="E111" i="4" s="1"/>
  <c r="D109" i="4"/>
  <c r="E109" i="4" s="1"/>
  <c r="J110" i="4"/>
  <c r="K110" i="4" s="1"/>
  <c r="J109" i="4"/>
  <c r="K109" i="4" s="1"/>
  <c r="AU18" i="1"/>
  <c r="AW18" i="1"/>
  <c r="AX18" i="1"/>
  <c r="AT18" i="1"/>
  <c r="AS18" i="1"/>
  <c r="AY18" i="1"/>
  <c r="AV18" i="1"/>
  <c r="AO19" i="1"/>
  <c r="AZ19" i="1" s="1"/>
  <c r="AJ19" i="1"/>
  <c r="AK19" i="1"/>
  <c r="AL19" i="1"/>
  <c r="AI19" i="1"/>
  <c r="AN19" i="1"/>
  <c r="AM19" i="1"/>
  <c r="K111" i="4"/>
  <c r="K119" i="4"/>
  <c r="K107" i="4"/>
  <c r="K115" i="4"/>
  <c r="K123" i="4"/>
  <c r="J96" i="4"/>
  <c r="J100" i="4"/>
  <c r="J116" i="4"/>
  <c r="J124" i="4"/>
  <c r="J120" i="4"/>
  <c r="J104" i="4"/>
  <c r="J112" i="4"/>
  <c r="K95" i="4"/>
  <c r="J103" i="4"/>
  <c r="J106" i="4"/>
  <c r="J99" i="4"/>
  <c r="J98" i="4"/>
  <c r="J108" i="4"/>
  <c r="C65" i="4"/>
  <c r="I48" i="6" l="1"/>
  <c r="J55" i="6"/>
  <c r="J50" i="6"/>
  <c r="J54" i="6"/>
  <c r="J52" i="6"/>
  <c r="J35" i="6"/>
  <c r="J56" i="6"/>
  <c r="J51" i="6"/>
  <c r="J53" i="6"/>
  <c r="J49" i="6"/>
  <c r="J16" i="4"/>
  <c r="G30" i="4" s="1"/>
  <c r="BA60" i="1"/>
  <c r="BA73" i="1"/>
  <c r="AV61" i="1"/>
  <c r="BA47" i="1"/>
  <c r="BA18" i="1"/>
  <c r="AU74" i="1"/>
  <c r="E15" i="4" s="1"/>
  <c r="C29" i="4" s="1"/>
  <c r="Y75" i="1"/>
  <c r="AI75" i="1" s="1"/>
  <c r="AU61" i="1"/>
  <c r="AW74" i="1"/>
  <c r="G15" i="4" s="1"/>
  <c r="E29" i="4" s="1"/>
  <c r="AD75" i="1"/>
  <c r="AN75" i="1" s="1"/>
  <c r="AY75" i="1" s="1"/>
  <c r="AC75" i="1"/>
  <c r="AM75" i="1" s="1"/>
  <c r="AB75" i="1"/>
  <c r="AL75" i="1" s="1"/>
  <c r="AT74" i="1"/>
  <c r="D15" i="4" s="1"/>
  <c r="AT61" i="1"/>
  <c r="AS74" i="1"/>
  <c r="AV74" i="1"/>
  <c r="F15" i="4" s="1"/>
  <c r="D29" i="4" s="1"/>
  <c r="I15" i="4"/>
  <c r="G29" i="4" s="1"/>
  <c r="Z75" i="1"/>
  <c r="AJ75" i="1" s="1"/>
  <c r="AX61" i="1"/>
  <c r="AW61" i="1"/>
  <c r="O10" i="4"/>
  <c r="O13" i="4"/>
  <c r="O14" i="4"/>
  <c r="S28" i="4" s="1"/>
  <c r="AX74" i="1"/>
  <c r="H15" i="4" s="1"/>
  <c r="F29" i="4" s="1"/>
  <c r="O16" i="4"/>
  <c r="X75" i="1"/>
  <c r="AH75" i="1" s="1"/>
  <c r="AA75" i="1"/>
  <c r="AK75" i="1" s="1"/>
  <c r="AS61" i="1"/>
  <c r="D114" i="4"/>
  <c r="E114" i="4" s="1"/>
  <c r="J113" i="4"/>
  <c r="K113" i="4" s="1"/>
  <c r="T29" i="4"/>
  <c r="J117" i="4"/>
  <c r="K117" i="4" s="1"/>
  <c r="D116" i="4"/>
  <c r="E116" i="4" s="1"/>
  <c r="D115" i="4"/>
  <c r="E115" i="4" s="1"/>
  <c r="D113" i="4"/>
  <c r="E113" i="4" s="1"/>
  <c r="AW19" i="1"/>
  <c r="AY19" i="1"/>
  <c r="AU19" i="1"/>
  <c r="AV19" i="1"/>
  <c r="AX19" i="1"/>
  <c r="AT19" i="1"/>
  <c r="AS19" i="1"/>
  <c r="K100" i="4"/>
  <c r="K104" i="4"/>
  <c r="K120" i="4"/>
  <c r="K96" i="4"/>
  <c r="K124" i="4"/>
  <c r="K112" i="4"/>
  <c r="K116" i="4"/>
  <c r="D65" i="4"/>
  <c r="F65" i="4" s="1"/>
  <c r="H65" i="4" s="1"/>
  <c r="D69" i="4"/>
  <c r="F69" i="4" s="1"/>
  <c r="H69" i="4" s="1"/>
  <c r="D64" i="4"/>
  <c r="F64" i="4" s="1"/>
  <c r="H64" i="4" s="1"/>
  <c r="D67" i="4"/>
  <c r="F67" i="4" s="1"/>
  <c r="H67" i="4" s="1"/>
  <c r="D68" i="4"/>
  <c r="F68" i="4" s="1"/>
  <c r="H68" i="4" s="1"/>
  <c r="D63" i="4"/>
  <c r="F63" i="4" s="1"/>
  <c r="H63" i="4" s="1"/>
  <c r="C64" i="4"/>
  <c r="E64" i="4" s="1"/>
  <c r="G64" i="4" s="1"/>
  <c r="C66" i="4"/>
  <c r="E66" i="4" s="1"/>
  <c r="G66" i="4" s="1"/>
  <c r="C67" i="4"/>
  <c r="E67" i="4" s="1"/>
  <c r="G67" i="4" s="1"/>
  <c r="C63" i="4"/>
  <c r="E63" i="4" s="1"/>
  <c r="G63" i="4" s="1"/>
  <c r="D66" i="4"/>
  <c r="F66" i="4" s="1"/>
  <c r="H66" i="4" s="1"/>
  <c r="D62" i="4"/>
  <c r="F62" i="4" s="1"/>
  <c r="H62" i="4" s="1"/>
  <c r="K106" i="4"/>
  <c r="E65" i="4"/>
  <c r="G65" i="4" s="1"/>
  <c r="K103" i="4"/>
  <c r="K99" i="4"/>
  <c r="K98" i="4"/>
  <c r="K108" i="4"/>
  <c r="I16" i="4" l="1"/>
  <c r="F30" i="4" s="1"/>
  <c r="K35" i="6" a="1"/>
  <c r="J48" i="6"/>
  <c r="AV75" i="1"/>
  <c r="F16" i="4" s="1"/>
  <c r="C30" i="4" s="1"/>
  <c r="BA61" i="1"/>
  <c r="BA74" i="1"/>
  <c r="BA19" i="1"/>
  <c r="AS75" i="1"/>
  <c r="AT75" i="1"/>
  <c r="D16" i="4" s="1"/>
  <c r="C15" i="4"/>
  <c r="AX75" i="1"/>
  <c r="H16" i="4" s="1"/>
  <c r="E30" i="4" s="1"/>
  <c r="AW75" i="1"/>
  <c r="G16" i="4" s="1"/>
  <c r="D30" i="4" s="1"/>
  <c r="O28" i="4"/>
  <c r="P16" i="4"/>
  <c r="P13" i="4"/>
  <c r="L112" i="4" s="1"/>
  <c r="V27" i="4"/>
  <c r="Q27" i="4"/>
  <c r="S27" i="4"/>
  <c r="U27" i="4"/>
  <c r="P27" i="4"/>
  <c r="T27" i="4"/>
  <c r="O27" i="4"/>
  <c r="R27" i="4"/>
  <c r="T28" i="4"/>
  <c r="P10" i="4"/>
  <c r="L99" i="4" s="1"/>
  <c r="P9" i="4"/>
  <c r="L96" i="4" s="1"/>
  <c r="P11" i="4"/>
  <c r="L104" i="4" s="1"/>
  <c r="R24" i="4"/>
  <c r="S24" i="4"/>
  <c r="P12" i="4"/>
  <c r="L108" i="4" s="1"/>
  <c r="T24" i="4"/>
  <c r="U24" i="4"/>
  <c r="V24" i="4"/>
  <c r="P15" i="4"/>
  <c r="L120" i="4" s="1"/>
  <c r="W24" i="4"/>
  <c r="K32" i="4" s="1" a="1"/>
  <c r="K32" i="4" s="1"/>
  <c r="D43" i="4" s="1"/>
  <c r="H43" i="4" s="1"/>
  <c r="P14" i="4"/>
  <c r="F116" i="4" s="1"/>
  <c r="U28" i="4"/>
  <c r="P28" i="4"/>
  <c r="Q28" i="4"/>
  <c r="AU75" i="1"/>
  <c r="E16" i="4" s="1"/>
  <c r="R28" i="4"/>
  <c r="P29" i="4"/>
  <c r="D119" i="4"/>
  <c r="E119" i="4" s="1"/>
  <c r="D120" i="4"/>
  <c r="E120" i="4" s="1"/>
  <c r="C68" i="4"/>
  <c r="E68" i="4" s="1"/>
  <c r="G68" i="4" s="1"/>
  <c r="O29" i="4"/>
  <c r="R29" i="4"/>
  <c r="D117" i="4"/>
  <c r="E117" i="4" s="1"/>
  <c r="Q29" i="4"/>
  <c r="D118" i="4"/>
  <c r="E118" i="4" s="1"/>
  <c r="S30" i="4"/>
  <c r="N154" i="4"/>
  <c r="S29" i="4"/>
  <c r="N153" i="4"/>
  <c r="H71" i="4"/>
  <c r="K54" i="6" l="1"/>
  <c r="K56" i="6"/>
  <c r="K49" i="6"/>
  <c r="K51" i="6"/>
  <c r="K53" i="6"/>
  <c r="K52" i="6"/>
  <c r="K35" i="6"/>
  <c r="K55" i="6"/>
  <c r="K50" i="6"/>
  <c r="BA75" i="1"/>
  <c r="C16" i="4"/>
  <c r="F119" i="4"/>
  <c r="F120" i="4"/>
  <c r="F118" i="4"/>
  <c r="L100" i="4"/>
  <c r="L98" i="4"/>
  <c r="F117" i="4"/>
  <c r="H32" i="4" a="1"/>
  <c r="H32" i="4" s="1"/>
  <c r="D40" i="4" s="1"/>
  <c r="H40" i="4" s="1"/>
  <c r="F114" i="4"/>
  <c r="F115" i="4"/>
  <c r="J32" i="4" a="1"/>
  <c r="J32" i="4" s="1"/>
  <c r="D42" i="4" s="1"/>
  <c r="H42" i="4" s="1"/>
  <c r="I32" i="4" a="1"/>
  <c r="I32" i="4" s="1"/>
  <c r="D41" i="4" s="1"/>
  <c r="H41" i="4" s="1"/>
  <c r="L121" i="4"/>
  <c r="L122" i="4"/>
  <c r="L123" i="4"/>
  <c r="F103" i="4"/>
  <c r="F104" i="4"/>
  <c r="F101" i="4"/>
  <c r="F102" i="4"/>
  <c r="L101" i="4"/>
  <c r="L102" i="4"/>
  <c r="F113" i="4"/>
  <c r="L118" i="4"/>
  <c r="L119" i="4"/>
  <c r="F96" i="4"/>
  <c r="F95" i="4"/>
  <c r="F94" i="4"/>
  <c r="F93" i="4"/>
  <c r="L93" i="4"/>
  <c r="L94" i="4"/>
  <c r="L95" i="4"/>
  <c r="L117" i="4"/>
  <c r="F100" i="4"/>
  <c r="F99" i="4"/>
  <c r="F98" i="4"/>
  <c r="F97" i="4"/>
  <c r="L97" i="4"/>
  <c r="L124" i="4"/>
  <c r="L115" i="4"/>
  <c r="L114" i="4"/>
  <c r="L103" i="4"/>
  <c r="L116" i="4"/>
  <c r="L113" i="4"/>
  <c r="F108" i="4"/>
  <c r="L105" i="4"/>
  <c r="F106" i="4"/>
  <c r="F105" i="4"/>
  <c r="F107" i="4"/>
  <c r="L107" i="4"/>
  <c r="F110" i="4"/>
  <c r="L109" i="4"/>
  <c r="L111" i="4"/>
  <c r="L110" i="4"/>
  <c r="F112" i="4"/>
  <c r="F109" i="4"/>
  <c r="F111" i="4"/>
  <c r="L106" i="4"/>
  <c r="G32" i="4" a="1"/>
  <c r="G32" i="4" s="1"/>
  <c r="C69" i="4"/>
  <c r="E69" i="4" s="1"/>
  <c r="G69" i="4" s="1"/>
  <c r="G71" i="4" s="1"/>
  <c r="O30" i="4"/>
  <c r="C32" i="4" s="1" a="1"/>
  <c r="C32" i="4" s="1"/>
  <c r="C43" i="4" s="1"/>
  <c r="G43" i="4" s="1"/>
  <c r="D124" i="4"/>
  <c r="E124" i="4" s="1"/>
  <c r="F124" i="4" s="1"/>
  <c r="Q30" i="4"/>
  <c r="E32" i="4" s="1" a="1"/>
  <c r="E32" i="4" s="1"/>
  <c r="C41" i="4" s="1"/>
  <c r="G41" i="4" s="1"/>
  <c r="D122" i="4"/>
  <c r="E122" i="4" s="1"/>
  <c r="F122" i="4" s="1"/>
  <c r="R30" i="4"/>
  <c r="F32" i="4" s="1" a="1"/>
  <c r="F32" i="4" s="1"/>
  <c r="C40" i="4" s="1"/>
  <c r="G40" i="4" s="1"/>
  <c r="D121" i="4"/>
  <c r="E121" i="4" s="1"/>
  <c r="F121" i="4" s="1"/>
  <c r="P30" i="4"/>
  <c r="D32" i="4" s="1" a="1"/>
  <c r="D32" i="4" s="1"/>
  <c r="C42" i="4" s="1"/>
  <c r="G42" i="4" s="1"/>
  <c r="D123" i="4"/>
  <c r="E123" i="4" s="1"/>
  <c r="F123" i="4" s="1"/>
  <c r="L35" i="6" l="1" a="1"/>
  <c r="K48" i="6"/>
  <c r="H45" i="4"/>
  <c r="L126" i="4"/>
  <c r="F126" i="4"/>
  <c r="G45" i="4"/>
  <c r="L52" i="6" l="1"/>
  <c r="L54" i="6"/>
  <c r="L51" i="6"/>
  <c r="L50" i="6"/>
  <c r="L49" i="6"/>
  <c r="L53" i="6"/>
  <c r="L35" i="6"/>
  <c r="L56" i="6"/>
  <c r="L55" i="6"/>
  <c r="C141" i="4"/>
  <c r="L48" i="6" l="1"/>
  <c r="M35" i="6" a="1"/>
  <c r="M49" i="6" l="1"/>
  <c r="M56" i="6"/>
  <c r="M51" i="6"/>
  <c r="M52" i="6"/>
  <c r="M53" i="6"/>
  <c r="M35" i="6"/>
  <c r="M55" i="6"/>
  <c r="M50" i="6"/>
  <c r="M54" i="6"/>
  <c r="N35" i="6" l="1" a="1"/>
  <c r="M48" i="6"/>
  <c r="N51" i="6" l="1"/>
  <c r="N53" i="6"/>
  <c r="N55" i="6"/>
  <c r="N50" i="6"/>
  <c r="N52" i="6"/>
  <c r="N35" i="6"/>
  <c r="N54" i="6"/>
  <c r="N56" i="6"/>
  <c r="N49" i="6"/>
  <c r="N48" i="6" l="1"/>
  <c r="O35" i="6" a="1"/>
  <c r="O54" i="6" l="1"/>
  <c r="O49" i="6"/>
  <c r="O51" i="6"/>
  <c r="O53" i="6"/>
  <c r="O52" i="6"/>
  <c r="O35" i="6"/>
  <c r="O56" i="6"/>
  <c r="O55" i="6"/>
  <c r="O50" i="6"/>
  <c r="P35" i="6" l="1" a="1"/>
  <c r="O48" i="6"/>
  <c r="P56" i="6" l="1"/>
  <c r="P49" i="6"/>
  <c r="P54" i="6"/>
  <c r="P35" i="6"/>
  <c r="P52" i="6"/>
  <c r="P51" i="6"/>
  <c r="P53" i="6"/>
  <c r="P55" i="6"/>
  <c r="P50" i="6"/>
  <c r="Q35" i="6" l="1" a="1"/>
  <c r="P48" i="6"/>
  <c r="Q54" i="6" l="1"/>
  <c r="Q55" i="6"/>
  <c r="Q35" i="6"/>
  <c r="Q56" i="6"/>
  <c r="Q49" i="6"/>
  <c r="Q51" i="6"/>
  <c r="Q53" i="6"/>
  <c r="Q50" i="6"/>
  <c r="Q52" i="6"/>
  <c r="R35" i="6" l="1" a="1"/>
  <c r="Q48" i="6"/>
  <c r="R54" i="6" l="1"/>
  <c r="R35" i="6"/>
  <c r="R49" i="6"/>
  <c r="R51" i="6"/>
  <c r="R53" i="6"/>
  <c r="R56" i="6"/>
  <c r="R55" i="6"/>
  <c r="R50" i="6"/>
  <c r="R52" i="6"/>
  <c r="S35" i="6" l="1" a="1"/>
  <c r="R48" i="6"/>
  <c r="S53" i="6" l="1"/>
  <c r="S56" i="6"/>
  <c r="S49" i="6"/>
  <c r="S51" i="6"/>
  <c r="S35" i="6"/>
  <c r="S55" i="6"/>
  <c r="S50" i="6"/>
  <c r="S52" i="6"/>
  <c r="S54" i="6"/>
  <c r="T35" i="6" l="1" a="1"/>
  <c r="S48" i="6"/>
  <c r="T51" i="6" l="1"/>
  <c r="T54" i="6"/>
  <c r="T35" i="6"/>
  <c r="T53" i="6"/>
  <c r="T50" i="6"/>
  <c r="T52" i="6"/>
  <c r="T56" i="6"/>
  <c r="T55" i="6"/>
  <c r="T49" i="6"/>
  <c r="U35" i="6" l="1" a="1"/>
  <c r="T48" i="6"/>
  <c r="U53" i="6" l="1"/>
  <c r="U50" i="6"/>
  <c r="U52" i="6"/>
  <c r="U56" i="6"/>
  <c r="U51" i="6"/>
  <c r="U35" i="6"/>
  <c r="U55" i="6"/>
  <c r="U54" i="6"/>
  <c r="U49" i="6"/>
  <c r="V35" i="6" l="1" a="1"/>
  <c r="U48" i="6"/>
  <c r="V53" i="6" l="1"/>
  <c r="V51" i="6"/>
  <c r="V35" i="6"/>
  <c r="V55" i="6"/>
  <c r="V50" i="6"/>
  <c r="V52" i="6"/>
  <c r="V54" i="6"/>
  <c r="V56" i="6"/>
  <c r="V49" i="6"/>
  <c r="V48" i="6" l="1"/>
  <c r="W35" i="6" a="1"/>
  <c r="W54" i="6" l="1"/>
  <c r="W56" i="6"/>
  <c r="W49" i="6"/>
  <c r="W51" i="6"/>
  <c r="W55" i="6"/>
  <c r="W50" i="6"/>
  <c r="W52" i="6"/>
  <c r="W35" i="6"/>
  <c r="W53" i="6"/>
  <c r="X35" i="6" l="1" a="1"/>
  <c r="W48" i="6"/>
  <c r="X52" i="6" l="1"/>
  <c r="X51" i="6"/>
  <c r="X53" i="6"/>
  <c r="X55" i="6"/>
  <c r="X35" i="6"/>
  <c r="X56" i="6"/>
  <c r="X49" i="6"/>
  <c r="X50" i="6"/>
  <c r="X54" i="6"/>
  <c r="Y35" i="6" l="1" a="1"/>
  <c r="X48" i="6"/>
  <c r="Y54" i="6" l="1"/>
  <c r="Y53" i="6"/>
  <c r="Y35" i="6"/>
  <c r="Y56" i="6"/>
  <c r="Y49" i="6"/>
  <c r="Y51" i="6"/>
  <c r="Y55" i="6"/>
  <c r="Y50" i="6"/>
  <c r="Y52" i="6"/>
  <c r="Z35" i="6" l="1" a="1"/>
  <c r="Y48" i="6"/>
  <c r="Z54" i="6" l="1"/>
  <c r="Z51" i="6"/>
  <c r="Z52" i="6"/>
  <c r="Z35" i="6"/>
  <c r="Z56" i="6"/>
  <c r="Z49" i="6"/>
  <c r="Z53" i="6"/>
  <c r="Z55" i="6"/>
  <c r="Z50" i="6"/>
  <c r="AA35" i="6" l="1" a="1"/>
  <c r="Z48" i="6"/>
  <c r="AA53" i="6" l="1"/>
  <c r="AA35" i="6"/>
  <c r="AA55" i="6"/>
  <c r="AA50" i="6"/>
  <c r="AA52" i="6"/>
  <c r="AA54" i="6"/>
  <c r="AA56" i="6"/>
  <c r="AA49" i="6"/>
  <c r="AA51" i="6"/>
  <c r="AB35" i="6" l="1" a="1"/>
  <c r="AA48" i="6"/>
  <c r="AB53" i="6" l="1"/>
  <c r="AB55" i="6"/>
  <c r="AB50" i="6"/>
  <c r="AB54" i="6"/>
  <c r="AB35" i="6"/>
  <c r="AB52" i="6"/>
  <c r="AB56" i="6"/>
  <c r="AB49" i="6"/>
  <c r="AB51" i="6"/>
  <c r="AC35" i="6" l="1" a="1"/>
  <c r="AB48" i="6"/>
  <c r="AC53" i="6" l="1"/>
  <c r="AC35" i="6"/>
  <c r="AC55" i="6"/>
  <c r="AC50" i="6"/>
  <c r="AC52" i="6"/>
  <c r="AC54" i="6"/>
  <c r="AC56" i="6"/>
  <c r="AC49" i="6"/>
  <c r="AC51" i="6"/>
  <c r="AD35" i="6" l="1" a="1"/>
  <c r="AC48" i="6"/>
  <c r="AD53" i="6" l="1"/>
  <c r="AD52" i="6"/>
  <c r="AD56" i="6"/>
  <c r="AD49" i="6"/>
  <c r="AD35" i="6"/>
  <c r="AD55" i="6"/>
  <c r="AD50" i="6"/>
  <c r="AD54" i="6"/>
  <c r="AD51" i="6"/>
  <c r="AE35" i="6" l="1" a="1"/>
  <c r="AD48" i="6"/>
  <c r="AE54" i="6" l="1"/>
  <c r="AE50" i="6"/>
  <c r="AE35" i="6"/>
  <c r="AE56" i="6"/>
  <c r="AE49" i="6"/>
  <c r="AE51" i="6"/>
  <c r="AE53" i="6"/>
  <c r="AE52" i="6"/>
  <c r="AE55" i="6"/>
  <c r="AF35" i="6" l="1" a="1"/>
  <c r="AE48" i="6"/>
  <c r="AF54" i="6" l="1"/>
  <c r="AF49" i="6"/>
  <c r="AF35" i="6"/>
  <c r="AF48" i="6" s="1"/>
  <c r="AF52" i="6"/>
  <c r="AF53" i="6"/>
  <c r="AF50" i="6"/>
  <c r="AF56" i="6"/>
  <c r="AF51" i="6"/>
  <c r="AF5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<sst xmlns="http://schemas.openxmlformats.org/spreadsheetml/2006/main" count="2595" uniqueCount="137">
  <si>
    <t>Annual Migration Matrix</t>
  </si>
  <si>
    <t>From</t>
  </si>
  <si>
    <t>To</t>
  </si>
  <si>
    <t>A</t>
  </si>
  <si>
    <t>TTC Migration Matrix</t>
  </si>
  <si>
    <t>B1</t>
  </si>
  <si>
    <t>B2</t>
  </si>
  <si>
    <t>B3</t>
  </si>
  <si>
    <t>B4</t>
  </si>
  <si>
    <t>C1</t>
  </si>
  <si>
    <t>C2</t>
  </si>
  <si>
    <t>C3</t>
  </si>
  <si>
    <t>Rating</t>
  </si>
  <si>
    <t>Annual Migration Count</t>
  </si>
  <si>
    <t>Portfolio</t>
  </si>
  <si>
    <t>Cumulative Migration Matrix</t>
  </si>
  <si>
    <t>Marginal TTC Migration Matrix</t>
  </si>
  <si>
    <t>Average TTC Migration Matrix</t>
  </si>
  <si>
    <t>CF</t>
  </si>
  <si>
    <t>Rho</t>
  </si>
  <si>
    <t>Function</t>
  </si>
  <si>
    <t>Notch</t>
  </si>
  <si>
    <t>Total</t>
  </si>
  <si>
    <t>N</t>
  </si>
  <si>
    <t>%</t>
  </si>
  <si>
    <t>Exponential Decay Estimation</t>
  </si>
  <si>
    <t>Upgrade</t>
  </si>
  <si>
    <t>Downgrade</t>
  </si>
  <si>
    <t>Fitted Up</t>
  </si>
  <si>
    <t>Fitted Down</t>
  </si>
  <si>
    <t>Error Up</t>
  </si>
  <si>
    <t>Error Down</t>
  </si>
  <si>
    <t>p</t>
  </si>
  <si>
    <t>q</t>
  </si>
  <si>
    <t>Quadratic Estimation</t>
  </si>
  <si>
    <t>a</t>
  </si>
  <si>
    <t>b</t>
  </si>
  <si>
    <t>c</t>
  </si>
  <si>
    <t>Parameter</t>
  </si>
  <si>
    <t>Initial Up</t>
  </si>
  <si>
    <t>Initial Down</t>
  </si>
  <si>
    <t>Est Up</t>
  </si>
  <si>
    <t>Est Down</t>
  </si>
  <si>
    <t>Actual</t>
  </si>
  <si>
    <t>Fitted</t>
  </si>
  <si>
    <t>Error</t>
  </si>
  <si>
    <t>Diagonal</t>
  </si>
  <si>
    <t>Pre</t>
  </si>
  <si>
    <t>Post</t>
  </si>
  <si>
    <t>ODR</t>
  </si>
  <si>
    <t>Distribution</t>
  </si>
  <si>
    <t>Average</t>
  </si>
  <si>
    <t>Upgrade and Downgrade Probability</t>
  </si>
  <si>
    <t>Upgrade and Downgrade Count</t>
  </si>
  <si>
    <t>Migration Rate Estimation</t>
  </si>
  <si>
    <t>Theoretical Migration Matrix</t>
  </si>
  <si>
    <t>Start</t>
  </si>
  <si>
    <t>Constraint</t>
  </si>
  <si>
    <t>CT</t>
  </si>
  <si>
    <t>Mean</t>
  </si>
  <si>
    <t>S.D.</t>
  </si>
  <si>
    <t>Year</t>
  </si>
  <si>
    <t>DtD</t>
  </si>
  <si>
    <t>CF'</t>
  </si>
  <si>
    <t>Input</t>
  </si>
  <si>
    <t>Historical</t>
  </si>
  <si>
    <t>Lifetime Cumulative TTC PD</t>
  </si>
  <si>
    <t>Lifetime Marginal TTC PD</t>
  </si>
  <si>
    <t>Default Calibration</t>
  </si>
  <si>
    <t>Cumulative Rating Distribution (RD)</t>
  </si>
  <si>
    <t>Corporate</t>
  </si>
  <si>
    <t>DF</t>
  </si>
  <si>
    <t>Input TTC Migration Matrix</t>
  </si>
  <si>
    <t>Calibration</t>
  </si>
  <si>
    <t>Default Observation</t>
  </si>
  <si>
    <t>Bad</t>
  </si>
  <si>
    <t>Rating1</t>
  </si>
  <si>
    <t>Scaling</t>
  </si>
  <si>
    <t>Check</t>
  </si>
  <si>
    <t>x1</t>
  </si>
  <si>
    <t>Calibrated</t>
  </si>
  <si>
    <t>PORTFOLIO</t>
  </si>
  <si>
    <t>YEAR</t>
  </si>
  <si>
    <t>TRACKING_MONTH</t>
  </si>
  <si>
    <t>Project Finance</t>
  </si>
  <si>
    <t>Retail</t>
  </si>
  <si>
    <t>SME</t>
  </si>
  <si>
    <t>CompositRating</t>
  </si>
  <si>
    <t>OBSERVED_YEAR</t>
  </si>
  <si>
    <t>LN(ODR)</t>
  </si>
  <si>
    <t>Intercept</t>
  </si>
  <si>
    <t>Coeffcient</t>
  </si>
  <si>
    <t>Exponential Regression</t>
  </si>
  <si>
    <t>Regression Parameters</t>
  </si>
  <si>
    <t>Back-testing</t>
  </si>
  <si>
    <t>Good</t>
  </si>
  <si>
    <t>CB</t>
  </si>
  <si>
    <t>Criteria</t>
  </si>
  <si>
    <t>AUC</t>
  </si>
  <si>
    <t>GINI</t>
  </si>
  <si>
    <t>KS</t>
  </si>
  <si>
    <t>Fail</t>
  </si>
  <si>
    <t>&lt; 50%</t>
  </si>
  <si>
    <t>&lt; 20%</t>
  </si>
  <si>
    <t>&lt; 34%</t>
  </si>
  <si>
    <t>Monitor</t>
  </si>
  <si>
    <t>50% - 60%</t>
  </si>
  <si>
    <t>20% - 40%</t>
  </si>
  <si>
    <t>34% - 43%</t>
  </si>
  <si>
    <t>Pass</t>
  </si>
  <si>
    <t>&gt; 60%</t>
  </si>
  <si>
    <t>&gt; 40%</t>
  </si>
  <si>
    <t>&gt; 43%</t>
  </si>
  <si>
    <t>CG</t>
  </si>
  <si>
    <t>Test</t>
  </si>
  <si>
    <t>Statistic</t>
  </si>
  <si>
    <t>Result</t>
  </si>
  <si>
    <t>Discriminatory Test</t>
  </si>
  <si>
    <t>For Underestimate</t>
  </si>
  <si>
    <t>Inconclusive</t>
  </si>
  <si>
    <t>0 Default</t>
  </si>
  <si>
    <t>ODR is lower than the upper limit of 95% confidence interval.</t>
  </si>
  <si>
    <t>ODR is between 95% to 99% confidence interval</t>
  </si>
  <si>
    <t>ODR is above the upper limit of 99% confidence interval.</t>
  </si>
  <si>
    <t>For Overestimate</t>
  </si>
  <si>
    <t>ODR is above than the lower limit of 95% confidence interval.</t>
  </si>
  <si>
    <t>ODR is below the lower limit of 99% confidence interval.</t>
  </si>
  <si>
    <t>Accuray Test</t>
  </si>
  <si>
    <t>Unbias PD</t>
  </si>
  <si>
    <t>95% Lower</t>
  </si>
  <si>
    <t>95% Upper</t>
  </si>
  <si>
    <t>99% Lower</t>
  </si>
  <si>
    <t>99% Upper</t>
  </si>
  <si>
    <t>Under</t>
  </si>
  <si>
    <t>Over</t>
  </si>
  <si>
    <t>Through-the-Cycle (TTC) Model</t>
  </si>
  <si>
    <t>Raw Migration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</si>
</sst>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yyyy\-mm\-dd\ hh:mm:ss"/>
  </numFmts>
  <fonts count="1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i/>
      <sz val="11"/>
      <color theme="0" tint="-0.249977111117893"/>
      <name val="Calibri"/>
      <family val="2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68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2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4" borderId="5" xfId="0" applyFont="1" applyFill="1" applyBorder="1" applyAlignment="1">
      <alignment horizontal="center"/>
    </xf>
    <xf numFmtId="10" fontId="0" fillId="0" borderId="0" xfId="1" applyNumberFormat="1" applyFont="1"/>
    <xf numFmtId="0" fontId="0" fillId="6" borderId="0" xfId="0" applyFill="1"/>
    <xf numFmtId="10" fontId="0" fillId="0" borderId="0" xfId="0" applyNumberFormat="1"/>
    <xf numFmtId="0" fontId="2" fillId="7" borderId="1" xfId="0" applyFon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2" fillId="0" borderId="0" xfId="2" applyFont="1" applyAlignment="1">
      <alignment horizontal="left"/>
    </xf>
    <xf numFmtId="0" fontId="1" fillId="0" borderId="0" xfId="2" applyFont="1"/>
    <xf numFmtId="0" fontId="4" fillId="0" borderId="0" xfId="2" applyFont="1"/>
    <xf numFmtId="10" fontId="1" fillId="0" borderId="0" xfId="3" applyNumberFormat="1" applyFont="1"/>
    <xf numFmtId="10" fontId="6" fillId="0" borderId="0" xfId="3" applyNumberFormat="1" applyFont="1"/>
    <xf numFmtId="0" fontId="1" fillId="0" borderId="0" xfId="2" applyFont="1" applyAlignment="1">
      <alignment horizontal="center"/>
    </xf>
    <xf numFmtId="0" fontId="2" fillId="0" borderId="0" xfId="2" applyFont="1"/>
    <xf numFmtId="10" fontId="1" fillId="0" borderId="0" xfId="3" applyNumberFormat="1" applyFont="1" applyFill="1" applyBorder="1"/>
    <xf numFmtId="164" fontId="1" fillId="0" borderId="1" xfId="2" applyNumberFormat="1" applyFont="1" applyBorder="1"/>
    <xf numFmtId="164" fontId="1" fillId="0" borderId="0" xfId="3" applyNumberFormat="1" applyFont="1" applyFill="1" applyBorder="1"/>
    <xf numFmtId="10" fontId="1" fillId="0" borderId="0" xfId="3" applyNumberFormat="1" applyFont="1" applyBorder="1"/>
    <xf numFmtId="164" fontId="1" fillId="0" borderId="0" xfId="2" applyNumberFormat="1" applyFont="1"/>
    <xf numFmtId="164" fontId="3" fillId="0" borderId="0" xfId="2" applyNumberFormat="1" applyFont="1"/>
    <xf numFmtId="10" fontId="1" fillId="0" borderId="0" xfId="1" applyNumberFormat="1" applyFont="1"/>
    <xf numFmtId="10" fontId="0" fillId="7" borderId="1" xfId="0" applyNumberFormat="1" applyFill="1" applyBorder="1" applyAlignment="1">
      <alignment horizontal="center"/>
    </xf>
    <xf numFmtId="0" fontId="2" fillId="2" borderId="1" xfId="2" applyFont="1" applyFill="1" applyBorder="1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3" fillId="0" borderId="0" xfId="3" applyNumberFormat="1" applyFont="1" applyFill="1" applyBorder="1" applyAlignment="1">
      <alignment horizontal="right"/>
    </xf>
    <xf numFmtId="164" fontId="1" fillId="2" borderId="0" xfId="2" applyNumberFormat="1" applyFont="1" applyFill="1"/>
    <xf numFmtId="164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0" fontId="2" fillId="2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/>
    <xf numFmtId="0" fontId="2" fillId="3" borderId="0" xfId="2" applyFont="1" applyFill="1"/>
    <xf numFmtId="10" fontId="4" fillId="0" borderId="0" xfId="0" applyNumberFormat="1" applyFont="1"/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65" fontId="0" fillId="0" borderId="0" xfId="0" applyNumberFormat="1"/>
    <xf numFmtId="0" fontId="2" fillId="3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10" fontId="1" fillId="0" borderId="0" xfId="0" applyNumberFormat="1" applyFont="1"/>
    <xf numFmtId="10" fontId="0" fillId="0" borderId="1" xfId="3" applyNumberFormat="1" applyFont="1" applyBorder="1" applyAlignment="1">
      <alignment horizontal="center"/>
    </xf>
    <xf numFmtId="10" fontId="1" fillId="0" borderId="0" xfId="3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5">
    <cellStyle name="Normal" xfId="0" builtinId="0"/>
    <cellStyle name="Normal 2" xfId="2" xr:uid="{8824BC2C-1C89-4961-B4D8-ECF05902ACEC}"/>
    <cellStyle name="Normal 2 2" xfId="4" xr:uid="{038217C2-2575-4C8E-AE5E-7A9B253B6504}"/>
    <cellStyle name="Percent" xfId="1" builtinId="5"/>
    <cellStyle name="Percent 2" xfId="3" xr:uid="{962AAF1F-EC30-4E3E-9A9A-722A59B88479}"/>
  </cellStyles>
  <dxfs count="20"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Function'!$J$39</c:f>
          <c:strCache>
            <c:ptCount val="1"/>
            <c:pt idx="0">
              <c:v>Retail - Exponential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Function'!$E$39</c:f>
              <c:strCache>
                <c:ptCount val="1"/>
                <c:pt idx="0">
                  <c:v>Fitted Up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Function'!$E$40:$E$43</c:f>
              <c:numCache>
                <c:formatCode>0.00%</c:formatCode>
                <c:ptCount val="4"/>
                <c:pt idx="0">
                  <c:v>0.12541331066405673</c:v>
                </c:pt>
                <c:pt idx="1">
                  <c:v>7.204378216168153E-2</c:v>
                </c:pt>
                <c:pt idx="2">
                  <c:v>4.1385611468810049E-2</c:v>
                </c:pt>
                <c:pt idx="3">
                  <c:v>2.3773999438334383E-2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Function'!$C$39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Function'!$C$40:$C$43</c:f>
              <c:numCache>
                <c:formatCode>0.00%</c:formatCode>
                <c:ptCount val="4"/>
                <c:pt idx="0">
                  <c:v>0.12541262407502526</c:v>
                </c:pt>
                <c:pt idx="1">
                  <c:v>7.2044450091824322E-2</c:v>
                </c:pt>
                <c:pt idx="2">
                  <c:v>7.8902344866909113E-2</c:v>
                </c:pt>
                <c:pt idx="3">
                  <c:v>1.1699936456237989E-2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Function'!$P$39</c:f>
          <c:strCache>
            <c:ptCount val="1"/>
            <c:pt idx="0">
              <c:v>Retail - Exponential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Function'!$F$39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Function'!$F$40:$F$43</c:f>
              <c:numCache>
                <c:formatCode>0.00%</c:formatCode>
                <c:ptCount val="4"/>
                <c:pt idx="0">
                  <c:v>0.20663452880566749</c:v>
                </c:pt>
                <c:pt idx="1">
                  <c:v>0.11776416735620035</c:v>
                </c:pt>
                <c:pt idx="2">
                  <c:v>6.7115593861575312E-2</c:v>
                </c:pt>
                <c:pt idx="3">
                  <c:v>3.8250199874187464E-2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Function'!$D$39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Function'!$D$40:$D$43</c:f>
              <c:numCache>
                <c:formatCode>0.00%</c:formatCode>
                <c:ptCount val="4"/>
                <c:pt idx="0">
                  <c:v>0.20663494568626306</c:v>
                </c:pt>
                <c:pt idx="1">
                  <c:v>0.11593630055588959</c:v>
                </c:pt>
                <c:pt idx="2">
                  <c:v>7.1174664322846387E-2</c:v>
                </c:pt>
                <c:pt idx="3">
                  <c:v>3.825036676727709E-2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Function'!$J$60</c:f>
          <c:strCache>
            <c:ptCount val="1"/>
            <c:pt idx="0">
              <c:v>Retail - Quadratic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Fitted</c:v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cat>
          <c:val>
            <c:numRef>
              <c:f>'3| Function'!$E$63:$E$69</c:f>
              <c:numCache>
                <c:formatCode>0.00%</c:formatCode>
                <c:ptCount val="7"/>
                <c:pt idx="0">
                  <c:v>1.6437911006805805E-6</c:v>
                </c:pt>
                <c:pt idx="1">
                  <c:v>4.0693394015798218E-2</c:v>
                </c:pt>
                <c:pt idx="2">
                  <c:v>8.7061609612551383E-2</c:v>
                </c:pt>
                <c:pt idx="3">
                  <c:v>0.1391062905813602</c:v>
                </c:pt>
                <c:pt idx="4">
                  <c:v>0.1968274369222246</c:v>
                </c:pt>
                <c:pt idx="5">
                  <c:v>0.26022504863514473</c:v>
                </c:pt>
                <c:pt idx="6">
                  <c:v>0.32929912572012038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Function'!$C$61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xVal>
          <c:yVal>
            <c:numRef>
              <c:f>'3| Function'!$C$63:$C$69</c:f>
              <c:numCache>
                <c:formatCode>0.00%</c:formatCode>
                <c:ptCount val="7"/>
                <c:pt idx="0">
                  <c:v>0</c:v>
                </c:pt>
                <c:pt idx="1">
                  <c:v>5.8290631157440223E-2</c:v>
                </c:pt>
                <c:pt idx="2">
                  <c:v>8.8317322890342401E-2</c:v>
                </c:pt>
                <c:pt idx="3">
                  <c:v>0.12540420723001353</c:v>
                </c:pt>
                <c:pt idx="4">
                  <c:v>0.18277770603891594</c:v>
                </c:pt>
                <c:pt idx="5">
                  <c:v>0.40714311903588774</c:v>
                </c:pt>
                <c:pt idx="6">
                  <c:v>0.32889938300791965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Function'!$P$60</c:f>
          <c:strCache>
            <c:ptCount val="1"/>
            <c:pt idx="0">
              <c:v>Retail - Quadratic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Function'!$F$61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'3| Function'!$F$62:$F$68</c:f>
              <c:numCache>
                <c:formatCode>0.00%</c:formatCode>
                <c:ptCount val="7"/>
                <c:pt idx="0">
                  <c:v>0.39995343189842231</c:v>
                </c:pt>
                <c:pt idx="1">
                  <c:v>0.41421466616012764</c:v>
                </c:pt>
                <c:pt idx="2">
                  <c:v>0.40850826619523534</c:v>
                </c:pt>
                <c:pt idx="3">
                  <c:v>0.38283423200374539</c:v>
                </c:pt>
                <c:pt idx="4">
                  <c:v>0.33719256358565786</c:v>
                </c:pt>
                <c:pt idx="5">
                  <c:v>0.27158326094097257</c:v>
                </c:pt>
                <c:pt idx="6">
                  <c:v>0.18600632406968975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Function'!$D$61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xVal>
          <c:yVal>
            <c:numRef>
              <c:f>'3| Function'!$D$62:$D$68</c:f>
              <c:numCache>
                <c:formatCode>0.00%</c:formatCode>
                <c:ptCount val="7"/>
                <c:pt idx="0">
                  <c:v>0.4</c:v>
                </c:pt>
                <c:pt idx="1">
                  <c:v>0.25054255124332203</c:v>
                </c:pt>
                <c:pt idx="2">
                  <c:v>0.45307698584791084</c:v>
                </c:pt>
                <c:pt idx="3">
                  <c:v>0.70796887271106279</c:v>
                </c:pt>
                <c:pt idx="4">
                  <c:v>0.33719071105833254</c:v>
                </c:pt>
                <c:pt idx="5">
                  <c:v>0.25870374936187279</c:v>
                </c:pt>
                <c:pt idx="6">
                  <c:v>0.18699868629533917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'4| Default'!$K$33</c:f>
          <c:strCache>
            <c:ptCount val="1"/>
            <c:pt idx="0">
              <c:v>Retail - Default Calibration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'4| Default'!$C$33</c:f>
              <c:strCache>
                <c:ptCount val="1"/>
                <c:pt idx="0">
                  <c:v>Fitted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'4| Default'!$B$34:$B$41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'4| Default'!$C$34:$C$41</c:f>
              <c:numCache>
                <c:formatCode>0.00%</c:formatCode>
                <c:ptCount val="8"/>
                <c:pt idx="0">
                  <c:v>3.4229611077112975E-4</c:v>
                </c:pt>
                <c:pt idx="1">
                  <c:v>8.2493536845641767E-4</c:v>
                </c:pt>
                <c:pt idx="2">
                  <c:v>1.9880984349989928E-3</c:v>
                </c:pt>
                <c:pt idx="3">
                  <c:v>4.7913273431847841E-3</c:v>
                </c:pt>
                <c:pt idx="4">
                  <c:v>1.154712327388446E-2</c:v>
                </c:pt>
                <c:pt idx="5">
                  <c:v>2.7828625838295568E-2</c:v>
                </c:pt>
                <c:pt idx="6">
                  <c:v>6.7067129853835269E-2</c:v>
                </c:pt>
                <c:pt idx="7">
                  <c:v>0.16163212416480169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6-4320-A7AA-45FC827D9634}"/>
            </c:ext>
          </c:extLst>
        </c:ser>
        <c:ser>
          <c:idx val="2"/>
          <c:order val="2"/>
          <c:tx>
            <c:strRef>
              <c:f>'4| Default'!$D$33</c:f>
              <c:strCache>
                <c:ptCount val="1"/>
                <c:pt idx="0">
                  <c:v>Calibrated</c:v>
                </c:pt>
              </c:strCache>
            </c:strRef>
          </c:tx>
          <c:spPr>
            <a:ln w="22225" cap="rnd">
              <a:solidFill>
                <a:srgbClr val="FFE600"/>
              </a:solidFill>
              <a:round/>
            </a:ln>
            <a:effectLst/>
          </c:spPr>
          <c:marker>
            <c:symbol val="none"/>
          </c:marker>
          <c:val>
            <c:numRef>
              <c:f>'4| Default'!$D$34:$D$41</c:f>
              <c:numCache>
                <c:formatCode>0.00%</c:formatCode>
                <c:ptCount val="8"/>
                <c:pt idx="0">
                  <c:v>1.4713569293756503E-4</c:v>
                </c:pt>
                <c:pt idx="1">
                  <c:v>3.5459776856096802E-4</c:v>
                </c:pt>
                <c:pt idx="2">
                  <c:v>8.545824263170021E-4</c:v>
                </c:pt>
                <c:pt idx="3">
                  <c:v>2.0595479952781729E-3</c:v>
                </c:pt>
                <c:pt idx="4">
                  <c:v>4.9635211469711291E-3</c:v>
                </c:pt>
                <c:pt idx="5">
                  <c:v>1.1962111217078993E-2</c:v>
                </c:pt>
                <c:pt idx="6">
                  <c:v>2.8828748892726245E-2</c:v>
                </c:pt>
                <c:pt idx="7">
                  <c:v>6.9477431503333562E-2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0994463"/>
        <c:axId val="1641015583"/>
      </c:lineChart>
      <c:scatterChart>
        <c:scatterStyle val="lineMarker"/>
        <c:varyColors val="0"/>
        <c:ser>
          <c:idx val="1"/>
          <c:order val="1"/>
          <c:tx>
            <c:strRef>
              <c:f>'4| Default'!$E$7</c:f>
              <c:strCache>
                <c:ptCount val="1"/>
                <c:pt idx="0">
                  <c:v>ODR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yVal>
            <c:numRef>
              <c:f>'4| Default'!$E$8:$E$15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2.9411764705882353E-2</c:v>
                </c:pt>
                <c:pt idx="5">
                  <c:v>1.5151515151515152E-2</c:v>
                </c:pt>
                <c:pt idx="6">
                  <c:v>7.4999999999999997E-2</c:v>
                </c:pt>
                <c:pt idx="7">
                  <c:v>0.12727272727272726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994463"/>
        <c:axId val="1641015583"/>
      </c:scatterChart>
      <c:catAx>
        <c:axId val="1640994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1015583"/>
        <c:crosses val="autoZero"/>
        <c:auto val="1"/>
        <c:lblAlgn val="ctr"/>
        <c:lblOffset val="100"/>
        <c:noMultiLvlLbl val="0"/>
      </c:catAx>
      <c:valAx>
        <c:axId val="16410155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099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0</xdr:colOff>
      <xdr:row>2</xdr:row>
      <xdr:rowOff>0</xdr:rowOff>
    </xdr:from>
    <xdr:ext cx="4467225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𝑇𝑇𝐶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l-GR" sz="1400" b="0" i="1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Φ</m:t>
                    </m:r>
                    <m:d>
                      <m:dPr>
                        <m:ctrlPr>
                          <a:rPr lang="el-GR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4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Φ</m:t>
                            </m:r>
                          </m:e>
                          <m:sup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l-GR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𝑅𝐷</m:t>
                                </m:r>
                              </m:e>
                              <m:sub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𝑆𝑎𝑚𝑝𝑙𝑒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1 − </m:t>
                            </m:r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−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d>
                          <m:dPr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𝐶𝐹</m:t>
                                </m:r>
                              </m:e>
                              <m:sup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</m:d>
                      </m:e>
                    </m:d>
                    <m:r>
                      <m:rPr>
                        <m:nor/>
                      </m:rPr>
                      <a:rPr lang="el-GR" sz="1400" b="0" i="0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</m:oMath>
                </m:oMathPara>
              </a14:m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𝑅𝐷〗_𝑇𝑇𝐶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Φ(</a:t>
              </a:r>
              <a:r>
                <a:rPr lang="el-GR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l-GR" sz="14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−1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(〖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𝑅𝐷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〗_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𝑆𝑎𝑚𝑝𝑙𝑒 )  𝑥 √(1 − 𝜌)  − √𝜌  𝑥 (〖𝐶𝐹〗^′ ))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</a:t>
              </a:r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35</xdr:row>
      <xdr:rowOff>1</xdr:rowOff>
    </xdr:from>
    <xdr:ext cx="3208186" cy="361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𝑁𝑜𝑡𝑐ℎ〗_𝑈𝑝𝑔𝑟𝑎𝑑𝑒, 〖𝑁𝑜𝑡𝑐ℎ〗_𝐷𝑜𝑤𝑛𝑔𝑟𝑎𝑑𝑒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𝑝𝑒^𝑞𝑛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56</xdr:row>
      <xdr:rowOff>0</xdr:rowOff>
    </xdr:from>
    <xdr:ext cx="404053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𝑅𝑎𝑡𝑖𝑛𝑔〗_𝑈𝑝𝑔𝑟𝑎𝑑𝑒, 〖𝑅𝑎𝑡𝑖𝑛𝑔〗_𝐷𝑜𝑤𝑛𝑔𝑟𝑎𝑑𝑒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𝑎𝑠〗^2+𝑏𝑠+𝑐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78</xdr:row>
      <xdr:rowOff>1</xdr:rowOff>
    </xdr:from>
    <xdr:ext cx="3379323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𝑖𝑔𝑟𝑎𝑡𝑖𝑜𝑛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𝑟𝑎𝑡𝑒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[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[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𝑖𝑔𝑟𝑎𝑡𝑖𝑜𝑛 𝑟𝑎𝑡𝑒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[𝑎𝑠〗^2+𝑏𝑠+𝑐] 𝑥 [〖𝑝𝑒〗^𝑞𝑛]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152400</xdr:rowOff>
        </xdr:from>
        <xdr:to>
          <xdr:col>11</xdr:col>
          <xdr:colOff>238125</xdr:colOff>
          <xdr:row>37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39</xdr:row>
      <xdr:rowOff>0</xdr:rowOff>
    </xdr:from>
    <xdr:to>
      <xdr:col>14</xdr:col>
      <xdr:colOff>674370</xdr:colOff>
      <xdr:row>53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DE6AB6-5B39-4096-9FAD-1934B934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39</xdr:row>
      <xdr:rowOff>0</xdr:rowOff>
    </xdr:from>
    <xdr:to>
      <xdr:col>20</xdr:col>
      <xdr:colOff>674370</xdr:colOff>
      <xdr:row>53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C8035E9-5B51-4418-856F-DA499A505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56</xdr:row>
          <xdr:rowOff>0</xdr:rowOff>
        </xdr:from>
        <xdr:to>
          <xdr:col>11</xdr:col>
          <xdr:colOff>238125</xdr:colOff>
          <xdr:row>58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60</xdr:row>
      <xdr:rowOff>0</xdr:rowOff>
    </xdr:from>
    <xdr:to>
      <xdr:col>14</xdr:col>
      <xdr:colOff>674370</xdr:colOff>
      <xdr:row>74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8B10E30-97D3-478D-A46E-73EF7FD1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60</xdr:row>
      <xdr:rowOff>0</xdr:rowOff>
    </xdr:from>
    <xdr:to>
      <xdr:col>20</xdr:col>
      <xdr:colOff>674370</xdr:colOff>
      <xdr:row>74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386913-BE2A-4315-93E8-83689EBFF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78</xdr:row>
          <xdr:rowOff>0</xdr:rowOff>
        </xdr:from>
        <xdr:to>
          <xdr:col>11</xdr:col>
          <xdr:colOff>238125</xdr:colOff>
          <xdr:row>80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0</xdr:rowOff>
        </xdr:from>
        <xdr:to>
          <xdr:col>8</xdr:col>
          <xdr:colOff>247650</xdr:colOff>
          <xdr:row>34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33</xdr:row>
      <xdr:rowOff>0</xdr:rowOff>
    </xdr:from>
    <xdr:to>
      <xdr:col>15</xdr:col>
      <xdr:colOff>674370</xdr:colOff>
      <xdr:row>47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63DD54-C543-413C-B389-04AD91CA9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E42FA-B2DF-46DA-BFDB-11CB711098BC}">
  <sheetPr codeName="Sheet6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A0823-9737-4748-B662-328CF0AD0F7A}">
  <sheetPr codeName="Sheet1"/>
  <dimension ref="B1:E20"/>
  <sheetViews>
    <sheetView showGridLines="0" tabSelected="1" workbookViewId="0">
      <selection activeCell="C7" sqref="C7"/>
    </sheetView>
  </sheetViews>
  <sheetFormatPr defaultRowHeight="15" x14ac:dyDescent="0.25"/>
  <cols>
    <col min="1" max="1" width="5.140625" customWidth="1"/>
    <col min="2" max="5" width="11.140625" customWidth="1"/>
  </cols>
  <sheetData>
    <row r="1" spans="2:5" s="2" customFormat="1" x14ac:dyDescent="0.25">
      <c r="B1" s="1" t="s">
        <v>38</v>
      </c>
    </row>
    <row r="2" spans="2:5" ht="15.75" thickBot="1" x14ac:dyDescent="0.3"/>
    <row r="3" spans="2:5" ht="15.75" thickBot="1" x14ac:dyDescent="0.3">
      <c r="B3" s="12" t="s">
        <v>14</v>
      </c>
      <c r="C3" s="46" t="s">
        <v>85</v>
      </c>
    </row>
    <row r="5" spans="2:5" s="3" customFormat="1" x14ac:dyDescent="0.25">
      <c r="B5" s="4" t="s">
        <v>64</v>
      </c>
    </row>
    <row r="6" spans="2:5" x14ac:dyDescent="0.25">
      <c r="B6" s="41"/>
    </row>
    <row r="7" spans="2:5" x14ac:dyDescent="0.25">
      <c r="B7" s="16" t="s">
        <v>58</v>
      </c>
      <c r="C7" s="47">
        <f>SUMIFS(ACCOUNT_DATA!$D:$D,ACCOUNT_DATA!$A:$A,'1| Parameter'!$C$3)/SUMIFS(ACCOUNT_DATA!$E:$E,ACCOUNT_DATA!$A:$A,'1| Parameter'!$C$3)</f>
        <v>2.5793008962380834E-2</v>
      </c>
    </row>
    <row r="8" spans="2:5" x14ac:dyDescent="0.25">
      <c r="B8" s="16" t="s">
        <v>19</v>
      </c>
      <c r="C8" s="47">
        <f>IF($C$3="Corporate",(0.12*(1-EXP(-50*C7))/(1-EXP(-50))+0.24*(1-(1-EXP(-50*C7))/(1-EXP(-50)))),IF($C$3="SME",(0.12*(1-EXP(-50*C7))/(1-EXP(-50))+0.24*(1-(1-EXP(-50*C7))/(1-EXP(-50))))-(0.04*(1-((100-10)/90))),(0.03*(1-EXP(-35*C7))/(1-EXP(-35))+0.16*(1-(1-EXP(-35*C7))/(1-EXP(-35))))))</f>
        <v>8.2708626706549784E-2</v>
      </c>
    </row>
    <row r="9" spans="2:5" x14ac:dyDescent="0.25">
      <c r="C9" s="13"/>
    </row>
    <row r="10" spans="2:5" x14ac:dyDescent="0.25">
      <c r="B10" s="16" t="s">
        <v>59</v>
      </c>
      <c r="C10" s="48">
        <f>NORMSINV(C7)/SQRT(1-C8)</f>
        <v>-2.0324361502534241</v>
      </c>
    </row>
    <row r="11" spans="2:5" x14ac:dyDescent="0.25">
      <c r="B11" s="16" t="s">
        <v>60</v>
      </c>
      <c r="C11" s="48">
        <f>SQRT(C8)/SQRT(1-C8)</f>
        <v>0.30027678017293064</v>
      </c>
    </row>
    <row r="13" spans="2:5" s="3" customFormat="1" x14ac:dyDescent="0.25">
      <c r="B13" s="4" t="s">
        <v>65</v>
      </c>
    </row>
    <row r="15" spans="2:5" x14ac:dyDescent="0.25">
      <c r="B15" s="8" t="s">
        <v>61</v>
      </c>
      <c r="C15" s="9" t="s">
        <v>49</v>
      </c>
      <c r="D15" s="9" t="s">
        <v>62</v>
      </c>
      <c r="E15" s="9" t="s">
        <v>63</v>
      </c>
    </row>
    <row r="16" spans="2:5" x14ac:dyDescent="0.25">
      <c r="B16" s="54">
        <f>_xlfn.MINIFS(RATING_DATA!$B:$B,RATING_DATA!$A:$A,'1| Parameter'!$C$3)</f>
        <v>2018</v>
      </c>
      <c r="C16" s="13">
        <f>IFERROR(SUMIFS(ACCOUNT_DATA!$D:$D,ACCOUNT_DATA!$A:$A,'1| Parameter'!$C$3,ACCOUNT_DATA!$B:$B,'1| Parameter'!$B16)/SUMIFS(ACCOUNT_DATA!$E:$E,ACCOUNT_DATA!$A:$A,'1| Parameter'!$C$3,ACCOUNT_DATA!$B:$B,'1| Parameter'!$B16),"")</f>
        <v>3.5826395523406579E-2</v>
      </c>
      <c r="D16" s="42">
        <f t="shared" ref="D16:D20" si="0">NORMSINV(C16)</f>
        <v>-1.8013178812258961</v>
      </c>
      <c r="E16" s="43">
        <f>(D16-$C$10)/$C$11</f>
        <v>0.76968411907982359</v>
      </c>
    </row>
    <row r="17" spans="2:5" x14ac:dyDescent="0.25">
      <c r="B17" s="36">
        <f>IFERROR(IF(B16+1&lt;=_xlfn.MAXIFS(RATING_DATA!$B:$B,RATING_DATA!$A:$A,'1| Parameter'!$C$3),'1| Parameter'!B16+1,""),"")</f>
        <v>2019</v>
      </c>
      <c r="C17" s="13">
        <f>IFERROR(SUMIFS(ACCOUNT_DATA!$D:$D,ACCOUNT_DATA!$A:$A,'1| Parameter'!$C$3,ACCOUNT_DATA!$B:$B,'1| Parameter'!$B17)/SUMIFS(ACCOUNT_DATA!$E:$E,ACCOUNT_DATA!$A:$A,'1| Parameter'!$C$3,ACCOUNT_DATA!$B:$B,'1| Parameter'!$B17),"")</f>
        <v>2.6722132130014807E-2</v>
      </c>
      <c r="D17" s="42">
        <f t="shared" si="0"/>
        <v>-1.9313137478816451</v>
      </c>
      <c r="E17" s="43">
        <f t="shared" ref="E17:E20" si="1">(D17-$C$10)/$C$11</f>
        <v>0.33676397593427682</v>
      </c>
    </row>
    <row r="18" spans="2:5" x14ac:dyDescent="0.25">
      <c r="B18" s="36">
        <f>IFERROR(IF(B17+1&lt;=_xlfn.MAXIFS(RATING_DATA!$B:$B,RATING_DATA!$A:$A,'1| Parameter'!$C$3),'1| Parameter'!B17+1,""),"")</f>
        <v>2020</v>
      </c>
      <c r="C18" s="13">
        <f>IFERROR(SUMIFS(ACCOUNT_DATA!$D:$D,ACCOUNT_DATA!$A:$A,'1| Parameter'!$C$3,ACCOUNT_DATA!$B:$B,'1| Parameter'!$B18)/SUMIFS(ACCOUNT_DATA!$E:$E,ACCOUNT_DATA!$A:$A,'1| Parameter'!$C$3,ACCOUNT_DATA!$B:$B,'1| Parameter'!$B18),"")</f>
        <v>3.2272094641614478E-2</v>
      </c>
      <c r="D18" s="42">
        <f t="shared" si="0"/>
        <v>-1.8484021406400524</v>
      </c>
      <c r="E18" s="43">
        <f t="shared" si="1"/>
        <v>0.61288125411290795</v>
      </c>
    </row>
    <row r="19" spans="2:5" x14ac:dyDescent="0.25">
      <c r="B19" s="36">
        <f>IFERROR(IF(B18+1&lt;=_xlfn.MAXIFS(RATING_DATA!$B:$B,RATING_DATA!$A:$A,'1| Parameter'!$C$3),'1| Parameter'!B18+1,""),"")</f>
        <v>2021</v>
      </c>
      <c r="C19" s="13">
        <f>IFERROR(SUMIFS(ACCOUNT_DATA!$D:$D,ACCOUNT_DATA!$A:$A,'1| Parameter'!$C$3,ACCOUNT_DATA!$B:$B,'1| Parameter'!$B19)/SUMIFS(ACCOUNT_DATA!$E:$E,ACCOUNT_DATA!$A:$A,'1| Parameter'!$C$3,ACCOUNT_DATA!$B:$B,'1| Parameter'!$B19),"")</f>
        <v>1.6303443686574614E-2</v>
      </c>
      <c r="D19" s="42">
        <f t="shared" si="0"/>
        <v>-2.1368906413351141</v>
      </c>
      <c r="E19" s="43">
        <f t="shared" si="1"/>
        <v>-0.3478607004562066</v>
      </c>
    </row>
    <row r="20" spans="2:5" x14ac:dyDescent="0.25">
      <c r="B20" s="36">
        <f>IFERROR(IF(B19+1&lt;=_xlfn.MAXIFS(RATING_DATA!$B:$B,RATING_DATA!$A:$A,'1| Parameter'!$C$3),'1| Parameter'!B19+1,""),"")</f>
        <v>2022</v>
      </c>
      <c r="C20" s="13">
        <f>IFERROR(SUMIFS(ACCOUNT_DATA!$D:$D,ACCOUNT_DATA!$A:$A,'1| Parameter'!$C$3,ACCOUNT_DATA!$B:$B,'1| Parameter'!$B20)/SUMIFS(ACCOUNT_DATA!$E:$E,ACCOUNT_DATA!$A:$A,'1| Parameter'!$C$3,ACCOUNT_DATA!$B:$B,'1| Parameter'!$B20),"")</f>
        <v>1.4565861655842109E-2</v>
      </c>
      <c r="D20" s="42">
        <f t="shared" si="0"/>
        <v>-2.181699426167004</v>
      </c>
      <c r="E20" s="43">
        <f t="shared" si="1"/>
        <v>-0.4970856415458384</v>
      </c>
    </row>
  </sheetData>
  <dataValidations count="1">
    <dataValidation type="list" allowBlank="1" showInputMessage="1" showErrorMessage="1" sqref="C3" xr:uid="{7DB95672-F005-4CD2-BADE-EB480EC994F0}">
      <formula1>"Corporate,SME,Retail"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B74B-5B8D-4C07-BEB5-4E1BDD43779D}">
  <sheetPr codeName="Sheet2"/>
  <dimension ref="A1:BU75"/>
  <sheetViews>
    <sheetView showGridLines="0" topLeftCell="AC1" workbookViewId="0">
      <selection activeCell="BE37" sqref="BE37"/>
    </sheetView>
  </sheetViews>
  <sheetFormatPr defaultColWidth="11.140625" defaultRowHeight="15" x14ac:dyDescent="0.25"/>
  <cols>
    <col min="1" max="1" width="5.140625" customWidth="1"/>
    <col min="12" max="12" width="5.140625" customWidth="1"/>
    <col min="22" max="22" width="5.140625" customWidth="1"/>
    <col min="32" max="32" width="5.140625" customWidth="1"/>
    <col min="43" max="43" width="5.140625" customWidth="1"/>
    <col min="54" max="54" width="5.140625" customWidth="1"/>
    <col min="64" max="64" width="5.140625" customWidth="1"/>
  </cols>
  <sheetData>
    <row r="1" spans="1:73" s="2" customFormat="1" x14ac:dyDescent="0.25">
      <c r="B1" s="1" t="s">
        <v>4</v>
      </c>
    </row>
    <row r="2" spans="1:73" ht="15.75" thickBot="1" x14ac:dyDescent="0.3"/>
    <row r="3" spans="1:73" ht="15.75" thickBot="1" x14ac:dyDescent="0.3">
      <c r="B3" s="12" t="s">
        <v>14</v>
      </c>
      <c r="C3" s="46" t="str">
        <f>'1| Parameter'!$C$3</f>
        <v>Retail</v>
      </c>
      <c r="E3" s="16" t="s">
        <v>19</v>
      </c>
      <c r="F3" s="33">
        <f>'1| Parameter'!$C$8</f>
        <v>8.2708626706549784E-2</v>
      </c>
    </row>
    <row r="5" spans="1:73" s="3" customFormat="1" x14ac:dyDescent="0.25">
      <c r="B5" s="4" t="s">
        <v>13</v>
      </c>
      <c r="M5" s="4" t="s">
        <v>0</v>
      </c>
      <c r="W5" s="4" t="s">
        <v>15</v>
      </c>
      <c r="AG5" s="4" t="s">
        <v>69</v>
      </c>
      <c r="AR5" s="4" t="s">
        <v>16</v>
      </c>
      <c r="BC5" s="4" t="s">
        <v>136</v>
      </c>
    </row>
    <row r="7" spans="1:73" x14ac:dyDescent="0.25">
      <c r="B7" s="5" t="s">
        <v>1</v>
      </c>
      <c r="C7" s="5" t="s">
        <v>2</v>
      </c>
      <c r="M7" s="5" t="s">
        <v>1</v>
      </c>
      <c r="N7" s="5" t="s">
        <v>2</v>
      </c>
      <c r="W7" s="5" t="s">
        <v>1</v>
      </c>
      <c r="X7" s="5" t="s">
        <v>2</v>
      </c>
      <c r="AG7" s="5" t="s">
        <v>1</v>
      </c>
      <c r="AH7" s="5" t="s">
        <v>2</v>
      </c>
      <c r="AJ7" s="16" t="s">
        <v>18</v>
      </c>
      <c r="AR7" s="5" t="s">
        <v>1</v>
      </c>
      <c r="AS7" s="5" t="s">
        <v>2</v>
      </c>
    </row>
    <row r="8" spans="1:73" x14ac:dyDescent="0.25">
      <c r="B8" s="55">
        <f>_xlfn.MINIFS(RATING_DATA!$B:$B,RATING_DATA!$A:$A,'2| Non-Default'!$C$3)</f>
        <v>2018</v>
      </c>
      <c r="C8" s="6">
        <f>B8+1</f>
        <v>2019</v>
      </c>
      <c r="M8" s="6">
        <f>B8</f>
        <v>2018</v>
      </c>
      <c r="N8" s="6">
        <f>M8+1</f>
        <v>2019</v>
      </c>
      <c r="W8" s="6">
        <f>M8</f>
        <v>2018</v>
      </c>
      <c r="X8" s="6">
        <f>W8+1</f>
        <v>2019</v>
      </c>
      <c r="AG8" s="6">
        <f>W8</f>
        <v>2018</v>
      </c>
      <c r="AH8" s="6">
        <f>AG8+1</f>
        <v>2019</v>
      </c>
      <c r="AJ8" s="18">
        <f>VLOOKUP($AG8,'1| Parameter'!$B$15:$E$20,4,FALSE)</f>
        <v>0.76968411907982359</v>
      </c>
      <c r="AR8" s="6">
        <f>AG8</f>
        <v>2018</v>
      </c>
      <c r="AS8" s="6">
        <f>AR8+1</f>
        <v>2019</v>
      </c>
    </row>
    <row r="10" spans="1:73" x14ac:dyDescent="0.25">
      <c r="C10" s="11">
        <v>1</v>
      </c>
      <c r="D10" s="11">
        <v>2</v>
      </c>
      <c r="E10" s="11">
        <v>3</v>
      </c>
      <c r="F10" s="11">
        <v>4</v>
      </c>
      <c r="G10" s="11">
        <v>5</v>
      </c>
      <c r="H10" s="11">
        <v>6</v>
      </c>
      <c r="I10" s="11">
        <v>7</v>
      </c>
      <c r="J10" s="11">
        <v>8</v>
      </c>
      <c r="N10" s="11">
        <v>1</v>
      </c>
      <c r="O10" s="11">
        <v>2</v>
      </c>
      <c r="P10" s="11">
        <v>3</v>
      </c>
      <c r="Q10" s="11">
        <v>4</v>
      </c>
      <c r="R10" s="11">
        <v>5</v>
      </c>
      <c r="S10" s="11">
        <v>6</v>
      </c>
      <c r="T10" s="11">
        <v>7</v>
      </c>
      <c r="U10" s="11">
        <v>8</v>
      </c>
      <c r="X10" s="11">
        <v>1</v>
      </c>
      <c r="Y10" s="11">
        <v>2</v>
      </c>
      <c r="Z10" s="11">
        <v>3</v>
      </c>
      <c r="AA10" s="11">
        <v>4</v>
      </c>
      <c r="AB10" s="11">
        <v>5</v>
      </c>
      <c r="AC10" s="11">
        <v>6</v>
      </c>
      <c r="AD10" s="11">
        <v>7</v>
      </c>
      <c r="AE10" s="11">
        <v>8</v>
      </c>
      <c r="AH10" s="11">
        <v>1</v>
      </c>
      <c r="AI10" s="11">
        <v>2</v>
      </c>
      <c r="AJ10" s="11">
        <v>3</v>
      </c>
      <c r="AK10" s="11">
        <v>4</v>
      </c>
      <c r="AL10" s="11">
        <v>5</v>
      </c>
      <c r="AM10" s="11">
        <v>6</v>
      </c>
      <c r="AN10" s="11">
        <v>7</v>
      </c>
      <c r="AO10" s="11">
        <v>8</v>
      </c>
      <c r="AS10" s="11">
        <v>1</v>
      </c>
      <c r="AT10" s="11">
        <v>2</v>
      </c>
      <c r="AU10" s="11">
        <v>3</v>
      </c>
      <c r="AV10" s="11">
        <v>4</v>
      </c>
      <c r="AW10" s="11">
        <v>5</v>
      </c>
      <c r="AX10" s="11">
        <v>6</v>
      </c>
      <c r="AY10" s="11">
        <v>7</v>
      </c>
      <c r="AZ10" s="11">
        <v>8</v>
      </c>
      <c r="BD10" s="11">
        <v>1</v>
      </c>
      <c r="BE10" s="11">
        <v>2</v>
      </c>
      <c r="BF10" s="11">
        <v>3</v>
      </c>
      <c r="BG10" s="11">
        <v>4</v>
      </c>
      <c r="BH10" s="11">
        <v>5</v>
      </c>
      <c r="BI10" s="11">
        <v>6</v>
      </c>
      <c r="BJ10" s="11">
        <v>7</v>
      </c>
      <c r="BK10" s="11">
        <v>8</v>
      </c>
      <c r="BN10" s="11">
        <v>1</v>
      </c>
      <c r="BO10" s="11">
        <v>2</v>
      </c>
      <c r="BP10" s="11">
        <v>3</v>
      </c>
      <c r="BQ10" s="11">
        <v>4</v>
      </c>
      <c r="BR10" s="11">
        <v>5</v>
      </c>
      <c r="BS10" s="11">
        <v>6</v>
      </c>
      <c r="BT10" s="11">
        <v>7</v>
      </c>
      <c r="BU10" s="11">
        <v>8</v>
      </c>
    </row>
    <row r="11" spans="1:73" x14ac:dyDescent="0.25">
      <c r="B11" s="8" t="s">
        <v>12</v>
      </c>
      <c r="C11" s="9" t="s">
        <v>3</v>
      </c>
      <c r="D11" s="9" t="s">
        <v>5</v>
      </c>
      <c r="E11" s="9" t="s">
        <v>6</v>
      </c>
      <c r="F11" s="9" t="s">
        <v>7</v>
      </c>
      <c r="G11" s="9" t="s">
        <v>8</v>
      </c>
      <c r="H11" s="9" t="s">
        <v>9</v>
      </c>
      <c r="I11" s="9" t="s">
        <v>10</v>
      </c>
      <c r="J11" s="9" t="s">
        <v>11</v>
      </c>
      <c r="K11" s="11" t="s">
        <v>22</v>
      </c>
      <c r="L11" s="11"/>
      <c r="M11" s="8" t="s">
        <v>12</v>
      </c>
      <c r="N11" s="9" t="s">
        <v>3</v>
      </c>
      <c r="O11" s="9" t="s">
        <v>5</v>
      </c>
      <c r="P11" s="9" t="s">
        <v>6</v>
      </c>
      <c r="Q11" s="9" t="s">
        <v>7</v>
      </c>
      <c r="R11" s="9" t="s">
        <v>8</v>
      </c>
      <c r="S11" s="9" t="s">
        <v>9</v>
      </c>
      <c r="T11" s="9" t="s">
        <v>10</v>
      </c>
      <c r="U11" s="9" t="s">
        <v>11</v>
      </c>
      <c r="W11" s="8" t="s">
        <v>12</v>
      </c>
      <c r="X11" s="9" t="s">
        <v>3</v>
      </c>
      <c r="Y11" s="9" t="s">
        <v>5</v>
      </c>
      <c r="Z11" s="9" t="s">
        <v>6</v>
      </c>
      <c r="AA11" s="9" t="s">
        <v>7</v>
      </c>
      <c r="AB11" s="9" t="s">
        <v>8</v>
      </c>
      <c r="AC11" s="9" t="s">
        <v>9</v>
      </c>
      <c r="AD11" s="9" t="s">
        <v>10</v>
      </c>
      <c r="AE11" s="9" t="s">
        <v>11</v>
      </c>
      <c r="AG11" s="8" t="s">
        <v>12</v>
      </c>
      <c r="AH11" s="9" t="s">
        <v>3</v>
      </c>
      <c r="AI11" s="9" t="s">
        <v>5</v>
      </c>
      <c r="AJ11" s="9" t="s">
        <v>6</v>
      </c>
      <c r="AK11" s="9" t="s">
        <v>7</v>
      </c>
      <c r="AL11" s="9" t="s">
        <v>8</v>
      </c>
      <c r="AM11" s="9" t="s">
        <v>9</v>
      </c>
      <c r="AN11" s="9" t="s">
        <v>10</v>
      </c>
      <c r="AO11" s="9" t="s">
        <v>11</v>
      </c>
      <c r="AP11" s="11" t="s">
        <v>18</v>
      </c>
      <c r="AR11" s="8" t="s">
        <v>12</v>
      </c>
      <c r="AS11" s="9" t="s">
        <v>3</v>
      </c>
      <c r="AT11" s="9" t="s">
        <v>5</v>
      </c>
      <c r="AU11" s="9" t="s">
        <v>6</v>
      </c>
      <c r="AV11" s="9" t="s">
        <v>7</v>
      </c>
      <c r="AW11" s="9" t="s">
        <v>8</v>
      </c>
      <c r="AX11" s="9" t="s">
        <v>9</v>
      </c>
      <c r="AY11" s="9" t="s">
        <v>10</v>
      </c>
      <c r="AZ11" s="9" t="s">
        <v>11</v>
      </c>
      <c r="BC11" s="8" t="s">
        <v>12</v>
      </c>
      <c r="BD11" s="9" t="s">
        <v>3</v>
      </c>
      <c r="BE11" s="9" t="s">
        <v>5</v>
      </c>
      <c r="BF11" s="9" t="s">
        <v>6</v>
      </c>
      <c r="BG11" s="9" t="s">
        <v>7</v>
      </c>
      <c r="BH11" s="9" t="s">
        <v>8</v>
      </c>
      <c r="BI11" s="9" t="s">
        <v>9</v>
      </c>
      <c r="BJ11" s="9" t="s">
        <v>10</v>
      </c>
      <c r="BK11" s="9" t="s">
        <v>11</v>
      </c>
      <c r="BM11" s="8" t="s">
        <v>12</v>
      </c>
      <c r="BN11" s="9" t="s">
        <v>3</v>
      </c>
      <c r="BO11" s="9" t="s">
        <v>5</v>
      </c>
      <c r="BP11" s="9" t="s">
        <v>6</v>
      </c>
      <c r="BQ11" s="9" t="s">
        <v>7</v>
      </c>
      <c r="BR11" s="9" t="s">
        <v>8</v>
      </c>
      <c r="BS11" s="9" t="s">
        <v>9</v>
      </c>
      <c r="BT11" s="9" t="s">
        <v>10</v>
      </c>
      <c r="BU11" s="9" t="s">
        <v>11</v>
      </c>
    </row>
    <row r="12" spans="1:73" x14ac:dyDescent="0.25">
      <c r="A12" s="10">
        <f>B8</f>
        <v>2018</v>
      </c>
      <c r="B12" s="7" t="s">
        <v>3</v>
      </c>
      <c r="C12" s="14">
        <f>SUMIFS(RATING_DATA!$E:$E,RATING_DATA!$A:$A,'2| Non-Default'!$C$3,RATING_DATA!$B:$B,'2| Non-Default'!$A12,RATING_DATA!$C:$C,'2| Non-Default'!$B12,RATING_DATA!$D:$D,'2| Non-Default'!C$11)</f>
        <v>0</v>
      </c>
      <c r="D12" s="14">
        <f>SUMIFS(RATING_DATA!$E:$E,RATING_DATA!$A:$A,'2| Non-Default'!$C$3,RATING_DATA!$B:$B,'2| Non-Default'!$A12,RATING_DATA!$C:$C,'2| Non-Default'!$B12,RATING_DATA!$D:$D,'2| Non-Default'!D$11)</f>
        <v>0</v>
      </c>
      <c r="E12" s="14">
        <f>SUMIFS(RATING_DATA!$E:$E,RATING_DATA!$A:$A,'2| Non-Default'!$C$3,RATING_DATA!$B:$B,'2| Non-Default'!$A12,RATING_DATA!$C:$C,'2| Non-Default'!$B12,RATING_DATA!$D:$D,'2| Non-Default'!E$11)</f>
        <v>0</v>
      </c>
      <c r="F12" s="14">
        <f>SUMIFS(RATING_DATA!$E:$E,RATING_DATA!$A:$A,'2| Non-Default'!$C$3,RATING_DATA!$B:$B,'2| Non-Default'!$A12,RATING_DATA!$C:$C,'2| Non-Default'!$B12,RATING_DATA!$D:$D,'2| Non-Default'!F$11)</f>
        <v>0</v>
      </c>
      <c r="G12" s="14">
        <f>SUMIFS(RATING_DATA!$E:$E,RATING_DATA!$A:$A,'2| Non-Default'!$C$3,RATING_DATA!$B:$B,'2| Non-Default'!$A12,RATING_DATA!$C:$C,'2| Non-Default'!$B12,RATING_DATA!$D:$D,'2| Non-Default'!G$11)</f>
        <v>1</v>
      </c>
      <c r="H12" s="14">
        <f>SUMIFS(RATING_DATA!$E:$E,RATING_DATA!$A:$A,'2| Non-Default'!$C$3,RATING_DATA!$B:$B,'2| Non-Default'!$A12,RATING_DATA!$C:$C,'2| Non-Default'!$B12,RATING_DATA!$D:$D,'2| Non-Default'!H$11)</f>
        <v>0</v>
      </c>
      <c r="I12" s="14">
        <f>SUMIFS(RATING_DATA!$E:$E,RATING_DATA!$A:$A,'2| Non-Default'!$C$3,RATING_DATA!$B:$B,'2| Non-Default'!$A12,RATING_DATA!$C:$C,'2| Non-Default'!$B12,RATING_DATA!$D:$D,'2| Non-Default'!I$11)</f>
        <v>0</v>
      </c>
      <c r="J12" s="14">
        <f>SUMIFS(RATING_DATA!$E:$E,RATING_DATA!$A:$A,'2| Non-Default'!$C$3,RATING_DATA!$B:$B,'2| Non-Default'!$A12,RATING_DATA!$C:$C,'2| Non-Default'!$B12,RATING_DATA!$D:$D,'2| Non-Default'!J$11)</f>
        <v>0</v>
      </c>
      <c r="K12" s="50">
        <f>SUM(C12:J12)</f>
        <v>1</v>
      </c>
      <c r="L12" s="50"/>
      <c r="M12" s="7" t="s">
        <v>3</v>
      </c>
      <c r="N12" s="13">
        <f t="shared" ref="N12:U12" si="0">IFERROR(C12/$K12,"")</f>
        <v>0</v>
      </c>
      <c r="O12" s="13">
        <f t="shared" si="0"/>
        <v>0</v>
      </c>
      <c r="P12" s="13">
        <f t="shared" si="0"/>
        <v>0</v>
      </c>
      <c r="Q12" s="13">
        <f t="shared" si="0"/>
        <v>0</v>
      </c>
      <c r="R12" s="13">
        <f t="shared" si="0"/>
        <v>1</v>
      </c>
      <c r="S12" s="13">
        <f t="shared" si="0"/>
        <v>0</v>
      </c>
      <c r="T12" s="13">
        <f t="shared" si="0"/>
        <v>0</v>
      </c>
      <c r="U12" s="13">
        <f t="shared" si="0"/>
        <v>0</v>
      </c>
      <c r="W12" s="7" t="s">
        <v>3</v>
      </c>
      <c r="X12" s="15">
        <f>IFERROR(SUM(N12:$U12),"")</f>
        <v>1</v>
      </c>
      <c r="Y12" s="15">
        <f>IFERROR(SUM(O12:$U12),"")</f>
        <v>1</v>
      </c>
      <c r="Z12" s="15">
        <f>IFERROR(SUM(P12:$U12),"")</f>
        <v>1</v>
      </c>
      <c r="AA12" s="15">
        <f>IFERROR(SUM(Q12:$U12),"")</f>
        <v>1</v>
      </c>
      <c r="AB12" s="15">
        <f>IFERROR(SUM(R12:$U12),"")</f>
        <v>1</v>
      </c>
      <c r="AC12" s="15">
        <f>IFERROR(SUM(S12:$U12),"")</f>
        <v>0</v>
      </c>
      <c r="AD12" s="15">
        <f>IFERROR(SUM(T12:$U12),"")</f>
        <v>0</v>
      </c>
      <c r="AE12" s="15">
        <f>IFERROR(SUM(U12:$U12),"")</f>
        <v>0</v>
      </c>
      <c r="AG12" s="7" t="s">
        <v>3</v>
      </c>
      <c r="AH12" s="15">
        <f t="shared" ref="AH12:AO19" si="1">IF(X12=1,1,IF(X12=0,0,NORMSDIST(NORMSINV(X12)*(SQRT(1-$F$3))-SQRT($F$3)*$AP12)))</f>
        <v>1</v>
      </c>
      <c r="AI12" s="15">
        <f t="shared" si="1"/>
        <v>1</v>
      </c>
      <c r="AJ12" s="15">
        <f t="shared" si="1"/>
        <v>1</v>
      </c>
      <c r="AK12" s="15">
        <f t="shared" si="1"/>
        <v>1</v>
      </c>
      <c r="AL12" s="15">
        <f t="shared" si="1"/>
        <v>1</v>
      </c>
      <c r="AM12" s="15">
        <f t="shared" si="1"/>
        <v>0</v>
      </c>
      <c r="AN12" s="15">
        <f t="shared" si="1"/>
        <v>0</v>
      </c>
      <c r="AO12" s="15">
        <f t="shared" si="1"/>
        <v>0</v>
      </c>
      <c r="AP12" s="51">
        <f>AJ8</f>
        <v>0.76968411907982359</v>
      </c>
      <c r="AR12" s="7" t="s">
        <v>3</v>
      </c>
      <c r="AS12" s="15">
        <f t="shared" ref="AS12:AZ19" si="2">IF(AS$10&lt;&gt;MAX($AS$10:$AZ$10),IFERROR(AH12-AI12,""),AH12)</f>
        <v>0</v>
      </c>
      <c r="AT12" s="15">
        <f t="shared" si="2"/>
        <v>0</v>
      </c>
      <c r="AU12" s="15">
        <f t="shared" si="2"/>
        <v>0</v>
      </c>
      <c r="AV12" s="15">
        <f t="shared" si="2"/>
        <v>0</v>
      </c>
      <c r="AW12" s="15">
        <f t="shared" si="2"/>
        <v>1</v>
      </c>
      <c r="AX12" s="15">
        <f t="shared" si="2"/>
        <v>0</v>
      </c>
      <c r="AY12" s="15">
        <f t="shared" si="2"/>
        <v>0</v>
      </c>
      <c r="AZ12" s="15">
        <f t="shared" si="2"/>
        <v>0</v>
      </c>
      <c r="BA12" s="53">
        <f>SUM(AS12:AZ12)</f>
        <v>1</v>
      </c>
      <c r="BC12" s="7" t="s">
        <v>3</v>
      </c>
      <c r="BD12">
        <f>SUMIFS(C:C,$B:$B,$BC12)</f>
        <v>0</v>
      </c>
      <c r="BE12">
        <f t="shared" ref="BE12:BK19" si="3">SUMIFS(D:D,$B:$B,$BC12)</f>
        <v>1</v>
      </c>
      <c r="BF12">
        <f t="shared" si="3"/>
        <v>0</v>
      </c>
      <c r="BG12">
        <f t="shared" si="3"/>
        <v>0</v>
      </c>
      <c r="BH12">
        <f t="shared" si="3"/>
        <v>1</v>
      </c>
      <c r="BI12">
        <f t="shared" si="3"/>
        <v>0</v>
      </c>
      <c r="BJ12">
        <f t="shared" si="3"/>
        <v>0</v>
      </c>
      <c r="BK12">
        <f t="shared" si="3"/>
        <v>0</v>
      </c>
      <c r="BM12" s="7" t="s">
        <v>3</v>
      </c>
      <c r="BN12" s="13">
        <f>BD12/SUM($BD12:$BK12)</f>
        <v>0</v>
      </c>
      <c r="BO12" s="13">
        <f t="shared" ref="BO12:BU19" si="4">BE12/SUM($BD12:$BK12)</f>
        <v>0.5</v>
      </c>
      <c r="BP12" s="13">
        <f t="shared" si="4"/>
        <v>0</v>
      </c>
      <c r="BQ12" s="13">
        <f t="shared" si="4"/>
        <v>0</v>
      </c>
      <c r="BR12" s="13">
        <f t="shared" si="4"/>
        <v>0.5</v>
      </c>
      <c r="BS12" s="13">
        <f t="shared" si="4"/>
        <v>0</v>
      </c>
      <c r="BT12" s="13">
        <f t="shared" si="4"/>
        <v>0</v>
      </c>
      <c r="BU12" s="13">
        <f t="shared" si="4"/>
        <v>0</v>
      </c>
    </row>
    <row r="13" spans="1:73" x14ac:dyDescent="0.25">
      <c r="A13" s="10">
        <f>A12</f>
        <v>2018</v>
      </c>
      <c r="B13" s="7" t="s">
        <v>5</v>
      </c>
      <c r="C13" s="14">
        <f>SUMIFS(RATING_DATA!$E:$E,RATING_DATA!$A:$A,'2| Non-Default'!$C$3,RATING_DATA!$B:$B,'2| Non-Default'!$A13,RATING_DATA!$C:$C,'2| Non-Default'!$B13,RATING_DATA!$D:$D,'2| Non-Default'!C$11)</f>
        <v>0</v>
      </c>
      <c r="D13" s="14">
        <f>SUMIFS(RATING_DATA!$E:$E,RATING_DATA!$A:$A,'2| Non-Default'!$C$3,RATING_DATA!$B:$B,'2| Non-Default'!$A13,RATING_DATA!$C:$C,'2| Non-Default'!$B13,RATING_DATA!$D:$D,'2| Non-Default'!D$11)</f>
        <v>0</v>
      </c>
      <c r="E13" s="14">
        <f>SUMIFS(RATING_DATA!$E:$E,RATING_DATA!$A:$A,'2| Non-Default'!$C$3,RATING_DATA!$B:$B,'2| Non-Default'!$A13,RATING_DATA!$C:$C,'2| Non-Default'!$B13,RATING_DATA!$D:$D,'2| Non-Default'!E$11)</f>
        <v>0</v>
      </c>
      <c r="F13" s="14">
        <f>SUMIFS(RATING_DATA!$E:$E,RATING_DATA!$A:$A,'2| Non-Default'!$C$3,RATING_DATA!$B:$B,'2| Non-Default'!$A13,RATING_DATA!$C:$C,'2| Non-Default'!$B13,RATING_DATA!$D:$D,'2| Non-Default'!F$11)</f>
        <v>0</v>
      </c>
      <c r="G13" s="14">
        <f>SUMIFS(RATING_DATA!$E:$E,RATING_DATA!$A:$A,'2| Non-Default'!$C$3,RATING_DATA!$B:$B,'2| Non-Default'!$A13,RATING_DATA!$C:$C,'2| Non-Default'!$B13,RATING_DATA!$D:$D,'2| Non-Default'!G$11)</f>
        <v>0</v>
      </c>
      <c r="H13" s="14">
        <f>SUMIFS(RATING_DATA!$E:$E,RATING_DATA!$A:$A,'2| Non-Default'!$C$3,RATING_DATA!$B:$B,'2| Non-Default'!$A13,RATING_DATA!$C:$C,'2| Non-Default'!$B13,RATING_DATA!$D:$D,'2| Non-Default'!H$11)</f>
        <v>0</v>
      </c>
      <c r="I13" s="14">
        <f>SUMIFS(RATING_DATA!$E:$E,RATING_DATA!$A:$A,'2| Non-Default'!$C$3,RATING_DATA!$B:$B,'2| Non-Default'!$A13,RATING_DATA!$C:$C,'2| Non-Default'!$B13,RATING_DATA!$D:$D,'2| Non-Default'!I$11)</f>
        <v>0</v>
      </c>
      <c r="J13" s="14">
        <f>SUMIFS(RATING_DATA!$E:$E,RATING_DATA!$A:$A,'2| Non-Default'!$C$3,RATING_DATA!$B:$B,'2| Non-Default'!$A13,RATING_DATA!$C:$C,'2| Non-Default'!$B13,RATING_DATA!$D:$D,'2| Non-Default'!J$11)</f>
        <v>0</v>
      </c>
      <c r="K13" s="50">
        <f t="shared" ref="K13:K19" si="5">SUM(C13:J13)</f>
        <v>0</v>
      </c>
      <c r="L13" s="50"/>
      <c r="M13" s="7" t="s">
        <v>5</v>
      </c>
      <c r="N13" s="13" t="str">
        <f t="shared" ref="N13:U19" si="6">IFERROR(C13/SUM($C13:$J13),"")</f>
        <v/>
      </c>
      <c r="O13" s="13" t="str">
        <f t="shared" si="6"/>
        <v/>
      </c>
      <c r="P13" s="13" t="str">
        <f t="shared" si="6"/>
        <v/>
      </c>
      <c r="Q13" s="13" t="str">
        <f t="shared" si="6"/>
        <v/>
      </c>
      <c r="R13" s="13" t="str">
        <f t="shared" si="6"/>
        <v/>
      </c>
      <c r="S13" s="13" t="str">
        <f t="shared" si="6"/>
        <v/>
      </c>
      <c r="T13" s="13" t="str">
        <f t="shared" si="6"/>
        <v/>
      </c>
      <c r="U13" s="13" t="str">
        <f t="shared" si="6"/>
        <v/>
      </c>
      <c r="W13" s="7" t="s">
        <v>5</v>
      </c>
      <c r="X13" s="15">
        <f>IFERROR(SUM(N13:$U13),"")</f>
        <v>0</v>
      </c>
      <c r="Y13" s="15">
        <f>IFERROR(SUM(O13:$U13),"")</f>
        <v>0</v>
      </c>
      <c r="Z13" s="15">
        <f>IFERROR(SUM(P13:$U13),"")</f>
        <v>0</v>
      </c>
      <c r="AA13" s="15">
        <f>IFERROR(SUM(Q13:$U13),"")</f>
        <v>0</v>
      </c>
      <c r="AB13" s="15">
        <f>IFERROR(SUM(R13:$U13),"")</f>
        <v>0</v>
      </c>
      <c r="AC13" s="15">
        <f>IFERROR(SUM(S13:$U13),"")</f>
        <v>0</v>
      </c>
      <c r="AD13" s="15">
        <f>IFERROR(SUM(T13:$U13),"")</f>
        <v>0</v>
      </c>
      <c r="AE13" s="15">
        <f>IFERROR(SUM(U13:$U13),"")</f>
        <v>0</v>
      </c>
      <c r="AG13" s="7" t="s">
        <v>5</v>
      </c>
      <c r="AH13" s="15">
        <f t="shared" si="1"/>
        <v>0</v>
      </c>
      <c r="AI13" s="15">
        <f t="shared" si="1"/>
        <v>0</v>
      </c>
      <c r="AJ13" s="15">
        <f t="shared" si="1"/>
        <v>0</v>
      </c>
      <c r="AK13" s="15">
        <f t="shared" si="1"/>
        <v>0</v>
      </c>
      <c r="AL13" s="15">
        <f t="shared" si="1"/>
        <v>0</v>
      </c>
      <c r="AM13" s="15">
        <f t="shared" si="1"/>
        <v>0</v>
      </c>
      <c r="AN13" s="15">
        <f t="shared" si="1"/>
        <v>0</v>
      </c>
      <c r="AO13" s="15">
        <f t="shared" si="1"/>
        <v>0</v>
      </c>
      <c r="AP13" s="51">
        <f>AP12</f>
        <v>0.76968411907982359</v>
      </c>
      <c r="AR13" s="7" t="s">
        <v>5</v>
      </c>
      <c r="AS13" s="15">
        <f t="shared" si="2"/>
        <v>0</v>
      </c>
      <c r="AT13" s="15">
        <f t="shared" si="2"/>
        <v>0</v>
      </c>
      <c r="AU13" s="15">
        <f t="shared" si="2"/>
        <v>0</v>
      </c>
      <c r="AV13" s="15">
        <f t="shared" si="2"/>
        <v>0</v>
      </c>
      <c r="AW13" s="15">
        <f t="shared" si="2"/>
        <v>0</v>
      </c>
      <c r="AX13" s="15">
        <f t="shared" si="2"/>
        <v>0</v>
      </c>
      <c r="AY13" s="15">
        <f t="shared" si="2"/>
        <v>0</v>
      </c>
      <c r="AZ13" s="15">
        <f t="shared" si="2"/>
        <v>0</v>
      </c>
      <c r="BA13" s="53">
        <f t="shared" ref="BA13:BA19" si="7">SUM(AS13:AZ13)</f>
        <v>0</v>
      </c>
      <c r="BC13" s="7" t="s">
        <v>5</v>
      </c>
      <c r="BD13">
        <f t="shared" ref="BD13:BD19" si="8">SUMIFS(C:C,$B:$B,$BC13)</f>
        <v>0</v>
      </c>
      <c r="BE13">
        <f t="shared" si="3"/>
        <v>3</v>
      </c>
      <c r="BF13">
        <f t="shared" si="3"/>
        <v>0</v>
      </c>
      <c r="BG13">
        <f t="shared" si="3"/>
        <v>2</v>
      </c>
      <c r="BH13">
        <f t="shared" si="3"/>
        <v>1</v>
      </c>
      <c r="BI13">
        <f t="shared" si="3"/>
        <v>0</v>
      </c>
      <c r="BJ13">
        <f t="shared" si="3"/>
        <v>0</v>
      </c>
      <c r="BK13">
        <f t="shared" si="3"/>
        <v>0</v>
      </c>
      <c r="BM13" s="7" t="s">
        <v>5</v>
      </c>
      <c r="BN13" s="13">
        <f t="shared" ref="BN13:BN19" si="9">BD13/SUM($BD13:$BK13)</f>
        <v>0</v>
      </c>
      <c r="BO13" s="13">
        <f t="shared" si="4"/>
        <v>0.5</v>
      </c>
      <c r="BP13" s="13">
        <f t="shared" ref="BP13:BU19" si="10">BF13/SUM($BD13:$BK13)</f>
        <v>0</v>
      </c>
      <c r="BQ13" s="13">
        <f t="shared" si="10"/>
        <v>0.33333333333333331</v>
      </c>
      <c r="BR13" s="13">
        <f t="shared" si="10"/>
        <v>0.16666666666666666</v>
      </c>
      <c r="BS13" s="13">
        <f t="shared" si="10"/>
        <v>0</v>
      </c>
      <c r="BT13" s="13">
        <f t="shared" si="10"/>
        <v>0</v>
      </c>
      <c r="BU13" s="13">
        <f t="shared" si="10"/>
        <v>0</v>
      </c>
    </row>
    <row r="14" spans="1:73" x14ac:dyDescent="0.25">
      <c r="A14" s="10">
        <f t="shared" ref="A14:A19" si="11">A13</f>
        <v>2018</v>
      </c>
      <c r="B14" s="7" t="s">
        <v>6</v>
      </c>
      <c r="C14" s="14">
        <f>SUMIFS(RATING_DATA!$E:$E,RATING_DATA!$A:$A,'2| Non-Default'!$C$3,RATING_DATA!$B:$B,'2| Non-Default'!$A14,RATING_DATA!$C:$C,'2| Non-Default'!$B14,RATING_DATA!$D:$D,'2| Non-Default'!C$11)</f>
        <v>0</v>
      </c>
      <c r="D14" s="14">
        <f>SUMIFS(RATING_DATA!$E:$E,RATING_DATA!$A:$A,'2| Non-Default'!$C$3,RATING_DATA!$B:$B,'2| Non-Default'!$A14,RATING_DATA!$C:$C,'2| Non-Default'!$B14,RATING_DATA!$D:$D,'2| Non-Default'!D$11)</f>
        <v>0</v>
      </c>
      <c r="E14" s="14">
        <f>SUMIFS(RATING_DATA!$E:$E,RATING_DATA!$A:$A,'2| Non-Default'!$C$3,RATING_DATA!$B:$B,'2| Non-Default'!$A14,RATING_DATA!$C:$C,'2| Non-Default'!$B14,RATING_DATA!$D:$D,'2| Non-Default'!E$11)</f>
        <v>0</v>
      </c>
      <c r="F14" s="14">
        <f>SUMIFS(RATING_DATA!$E:$E,RATING_DATA!$A:$A,'2| Non-Default'!$C$3,RATING_DATA!$B:$B,'2| Non-Default'!$A14,RATING_DATA!$C:$C,'2| Non-Default'!$B14,RATING_DATA!$D:$D,'2| Non-Default'!F$11)</f>
        <v>0</v>
      </c>
      <c r="G14" s="14">
        <f>SUMIFS(RATING_DATA!$E:$E,RATING_DATA!$A:$A,'2| Non-Default'!$C$3,RATING_DATA!$B:$B,'2| Non-Default'!$A14,RATING_DATA!$C:$C,'2| Non-Default'!$B14,RATING_DATA!$D:$D,'2| Non-Default'!G$11)</f>
        <v>0</v>
      </c>
      <c r="H14" s="14">
        <f>SUMIFS(RATING_DATA!$E:$E,RATING_DATA!$A:$A,'2| Non-Default'!$C$3,RATING_DATA!$B:$B,'2| Non-Default'!$A14,RATING_DATA!$C:$C,'2| Non-Default'!$B14,RATING_DATA!$D:$D,'2| Non-Default'!H$11)</f>
        <v>0</v>
      </c>
      <c r="I14" s="14">
        <f>SUMIFS(RATING_DATA!$E:$E,RATING_DATA!$A:$A,'2| Non-Default'!$C$3,RATING_DATA!$B:$B,'2| Non-Default'!$A14,RATING_DATA!$C:$C,'2| Non-Default'!$B14,RATING_DATA!$D:$D,'2| Non-Default'!I$11)</f>
        <v>0</v>
      </c>
      <c r="J14" s="14">
        <f>SUMIFS(RATING_DATA!$E:$E,RATING_DATA!$A:$A,'2| Non-Default'!$C$3,RATING_DATA!$B:$B,'2| Non-Default'!$A14,RATING_DATA!$C:$C,'2| Non-Default'!$B14,RATING_DATA!$D:$D,'2| Non-Default'!J$11)</f>
        <v>0</v>
      </c>
      <c r="K14" s="50">
        <f t="shared" si="5"/>
        <v>0</v>
      </c>
      <c r="L14" s="50"/>
      <c r="M14" s="7" t="s">
        <v>6</v>
      </c>
      <c r="N14" s="13" t="str">
        <f t="shared" si="6"/>
        <v/>
      </c>
      <c r="O14" s="13" t="str">
        <f t="shared" si="6"/>
        <v/>
      </c>
      <c r="P14" s="13" t="str">
        <f t="shared" si="6"/>
        <v/>
      </c>
      <c r="Q14" s="13" t="str">
        <f t="shared" si="6"/>
        <v/>
      </c>
      <c r="R14" s="13" t="str">
        <f t="shared" si="6"/>
        <v/>
      </c>
      <c r="S14" s="13" t="str">
        <f t="shared" si="6"/>
        <v/>
      </c>
      <c r="T14" s="13" t="str">
        <f t="shared" si="6"/>
        <v/>
      </c>
      <c r="U14" s="13" t="str">
        <f t="shared" si="6"/>
        <v/>
      </c>
      <c r="W14" s="7" t="s">
        <v>6</v>
      </c>
      <c r="X14" s="15">
        <f>IFERROR(SUM(N14:$U14),"")</f>
        <v>0</v>
      </c>
      <c r="Y14" s="15">
        <f>IFERROR(SUM(O14:$U14),"")</f>
        <v>0</v>
      </c>
      <c r="Z14" s="15">
        <f>IFERROR(SUM(P14:$U14),"")</f>
        <v>0</v>
      </c>
      <c r="AA14" s="15">
        <f>IFERROR(SUM(Q14:$U14),"")</f>
        <v>0</v>
      </c>
      <c r="AB14" s="15">
        <f>IFERROR(SUM(R14:$U14),"")</f>
        <v>0</v>
      </c>
      <c r="AC14" s="15">
        <f>IFERROR(SUM(S14:$U14),"")</f>
        <v>0</v>
      </c>
      <c r="AD14" s="15">
        <f>IFERROR(SUM(T14:$U14),"")</f>
        <v>0</v>
      </c>
      <c r="AE14" s="15">
        <f>IFERROR(SUM(U14:$U14),"")</f>
        <v>0</v>
      </c>
      <c r="AG14" s="7" t="s">
        <v>6</v>
      </c>
      <c r="AH14" s="15">
        <f t="shared" si="1"/>
        <v>0</v>
      </c>
      <c r="AI14" s="15">
        <f t="shared" si="1"/>
        <v>0</v>
      </c>
      <c r="AJ14" s="15">
        <f t="shared" si="1"/>
        <v>0</v>
      </c>
      <c r="AK14" s="15">
        <f t="shared" si="1"/>
        <v>0</v>
      </c>
      <c r="AL14" s="15">
        <f t="shared" si="1"/>
        <v>0</v>
      </c>
      <c r="AM14" s="15">
        <f t="shared" si="1"/>
        <v>0</v>
      </c>
      <c r="AN14" s="15">
        <f t="shared" si="1"/>
        <v>0</v>
      </c>
      <c r="AO14" s="15">
        <f t="shared" si="1"/>
        <v>0</v>
      </c>
      <c r="AP14" s="51">
        <f t="shared" ref="AP14:AP19" si="12">AP13</f>
        <v>0.76968411907982359</v>
      </c>
      <c r="AR14" s="7" t="s">
        <v>6</v>
      </c>
      <c r="AS14" s="15">
        <f t="shared" si="2"/>
        <v>0</v>
      </c>
      <c r="AT14" s="15">
        <f t="shared" si="2"/>
        <v>0</v>
      </c>
      <c r="AU14" s="15">
        <f t="shared" si="2"/>
        <v>0</v>
      </c>
      <c r="AV14" s="15">
        <f t="shared" si="2"/>
        <v>0</v>
      </c>
      <c r="AW14" s="15">
        <f t="shared" si="2"/>
        <v>0</v>
      </c>
      <c r="AX14" s="15">
        <f t="shared" si="2"/>
        <v>0</v>
      </c>
      <c r="AY14" s="15">
        <f t="shared" si="2"/>
        <v>0</v>
      </c>
      <c r="AZ14" s="15">
        <f t="shared" si="2"/>
        <v>0</v>
      </c>
      <c r="BA14" s="53">
        <f t="shared" si="7"/>
        <v>0</v>
      </c>
      <c r="BC14" s="7" t="s">
        <v>6</v>
      </c>
      <c r="BD14">
        <f t="shared" si="8"/>
        <v>0</v>
      </c>
      <c r="BE14">
        <f t="shared" si="3"/>
        <v>1</v>
      </c>
      <c r="BF14">
        <f t="shared" si="3"/>
        <v>1</v>
      </c>
      <c r="BG14">
        <f t="shared" si="3"/>
        <v>5</v>
      </c>
      <c r="BH14">
        <f t="shared" si="3"/>
        <v>1</v>
      </c>
      <c r="BI14">
        <f t="shared" si="3"/>
        <v>1</v>
      </c>
      <c r="BJ14">
        <f t="shared" si="3"/>
        <v>0</v>
      </c>
      <c r="BK14">
        <f t="shared" si="3"/>
        <v>0</v>
      </c>
      <c r="BM14" s="7" t="s">
        <v>6</v>
      </c>
      <c r="BN14" s="13">
        <f t="shared" si="9"/>
        <v>0</v>
      </c>
      <c r="BO14" s="13">
        <f t="shared" si="4"/>
        <v>0.1111111111111111</v>
      </c>
      <c r="BP14" s="13">
        <f t="shared" si="10"/>
        <v>0.1111111111111111</v>
      </c>
      <c r="BQ14" s="13">
        <f t="shared" si="10"/>
        <v>0.55555555555555558</v>
      </c>
      <c r="BR14" s="13">
        <f t="shared" si="10"/>
        <v>0.1111111111111111</v>
      </c>
      <c r="BS14" s="13">
        <f t="shared" si="10"/>
        <v>0.1111111111111111</v>
      </c>
      <c r="BT14" s="13">
        <f t="shared" si="10"/>
        <v>0</v>
      </c>
      <c r="BU14" s="13">
        <f t="shared" si="10"/>
        <v>0</v>
      </c>
    </row>
    <row r="15" spans="1:73" x14ac:dyDescent="0.25">
      <c r="A15" s="10">
        <f t="shared" si="11"/>
        <v>2018</v>
      </c>
      <c r="B15" s="7" t="s">
        <v>7</v>
      </c>
      <c r="C15" s="14">
        <f>SUMIFS(RATING_DATA!$E:$E,RATING_DATA!$A:$A,'2| Non-Default'!$C$3,RATING_DATA!$B:$B,'2| Non-Default'!$A15,RATING_DATA!$C:$C,'2| Non-Default'!$B15,RATING_DATA!$D:$D,'2| Non-Default'!C$11)</f>
        <v>0</v>
      </c>
      <c r="D15" s="14">
        <f>SUMIFS(RATING_DATA!$E:$E,RATING_DATA!$A:$A,'2| Non-Default'!$C$3,RATING_DATA!$B:$B,'2| Non-Default'!$A15,RATING_DATA!$C:$C,'2| Non-Default'!$B15,RATING_DATA!$D:$D,'2| Non-Default'!D$11)</f>
        <v>0</v>
      </c>
      <c r="E15" s="14">
        <f>SUMIFS(RATING_DATA!$E:$E,RATING_DATA!$A:$A,'2| Non-Default'!$C$3,RATING_DATA!$B:$B,'2| Non-Default'!$A15,RATING_DATA!$C:$C,'2| Non-Default'!$B15,RATING_DATA!$D:$D,'2| Non-Default'!E$11)</f>
        <v>0</v>
      </c>
      <c r="F15" s="14">
        <f>SUMIFS(RATING_DATA!$E:$E,RATING_DATA!$A:$A,'2| Non-Default'!$C$3,RATING_DATA!$B:$B,'2| Non-Default'!$A15,RATING_DATA!$C:$C,'2| Non-Default'!$B15,RATING_DATA!$D:$D,'2| Non-Default'!F$11)</f>
        <v>0</v>
      </c>
      <c r="G15" s="14">
        <f>SUMIFS(RATING_DATA!$E:$E,RATING_DATA!$A:$A,'2| Non-Default'!$C$3,RATING_DATA!$B:$B,'2| Non-Default'!$A15,RATING_DATA!$C:$C,'2| Non-Default'!$B15,RATING_DATA!$D:$D,'2| Non-Default'!G$11)</f>
        <v>2</v>
      </c>
      <c r="H15" s="14">
        <f>SUMIFS(RATING_DATA!$E:$E,RATING_DATA!$A:$A,'2| Non-Default'!$C$3,RATING_DATA!$B:$B,'2| Non-Default'!$A15,RATING_DATA!$C:$C,'2| Non-Default'!$B15,RATING_DATA!$D:$D,'2| Non-Default'!H$11)</f>
        <v>0</v>
      </c>
      <c r="I15" s="14">
        <f>SUMIFS(RATING_DATA!$E:$E,RATING_DATA!$A:$A,'2| Non-Default'!$C$3,RATING_DATA!$B:$B,'2| Non-Default'!$A15,RATING_DATA!$C:$C,'2| Non-Default'!$B15,RATING_DATA!$D:$D,'2| Non-Default'!I$11)</f>
        <v>0</v>
      </c>
      <c r="J15" s="14">
        <f>SUMIFS(RATING_DATA!$E:$E,RATING_DATA!$A:$A,'2| Non-Default'!$C$3,RATING_DATA!$B:$B,'2| Non-Default'!$A15,RATING_DATA!$C:$C,'2| Non-Default'!$B15,RATING_DATA!$D:$D,'2| Non-Default'!J$11)</f>
        <v>0</v>
      </c>
      <c r="K15" s="50">
        <f t="shared" si="5"/>
        <v>2</v>
      </c>
      <c r="L15" s="50"/>
      <c r="M15" s="7" t="s">
        <v>7</v>
      </c>
      <c r="N15" s="13">
        <f t="shared" si="6"/>
        <v>0</v>
      </c>
      <c r="O15" s="13">
        <f t="shared" si="6"/>
        <v>0</v>
      </c>
      <c r="P15" s="13">
        <f t="shared" si="6"/>
        <v>0</v>
      </c>
      <c r="Q15" s="13">
        <f t="shared" si="6"/>
        <v>0</v>
      </c>
      <c r="R15" s="13">
        <f t="shared" si="6"/>
        <v>1</v>
      </c>
      <c r="S15" s="13">
        <f t="shared" si="6"/>
        <v>0</v>
      </c>
      <c r="T15" s="13">
        <f t="shared" si="6"/>
        <v>0</v>
      </c>
      <c r="U15" s="13">
        <f t="shared" si="6"/>
        <v>0</v>
      </c>
      <c r="W15" s="7" t="s">
        <v>7</v>
      </c>
      <c r="X15" s="15">
        <f>IFERROR(SUM(N15:$U15),"")</f>
        <v>1</v>
      </c>
      <c r="Y15" s="15">
        <f>IFERROR(SUM(O15:$U15),"")</f>
        <v>1</v>
      </c>
      <c r="Z15" s="15">
        <f>IFERROR(SUM(P15:$U15),"")</f>
        <v>1</v>
      </c>
      <c r="AA15" s="15">
        <f>IFERROR(SUM(Q15:$U15),"")</f>
        <v>1</v>
      </c>
      <c r="AB15" s="15">
        <f>IFERROR(SUM(R15:$U15),"")</f>
        <v>1</v>
      </c>
      <c r="AC15" s="15">
        <f>IFERROR(SUM(S15:$U15),"")</f>
        <v>0</v>
      </c>
      <c r="AD15" s="15">
        <f>IFERROR(SUM(T15:$U15),"")</f>
        <v>0</v>
      </c>
      <c r="AE15" s="15">
        <f>IFERROR(SUM(U15:$U15),"")</f>
        <v>0</v>
      </c>
      <c r="AG15" s="7" t="s">
        <v>7</v>
      </c>
      <c r="AH15" s="15">
        <f t="shared" si="1"/>
        <v>1</v>
      </c>
      <c r="AI15" s="15">
        <f t="shared" si="1"/>
        <v>1</v>
      </c>
      <c r="AJ15" s="15">
        <f t="shared" si="1"/>
        <v>1</v>
      </c>
      <c r="AK15" s="15">
        <f t="shared" si="1"/>
        <v>1</v>
      </c>
      <c r="AL15" s="15">
        <f t="shared" si="1"/>
        <v>1</v>
      </c>
      <c r="AM15" s="15">
        <f t="shared" si="1"/>
        <v>0</v>
      </c>
      <c r="AN15" s="15">
        <f t="shared" si="1"/>
        <v>0</v>
      </c>
      <c r="AO15" s="15">
        <f t="shared" si="1"/>
        <v>0</v>
      </c>
      <c r="AP15" s="51">
        <f t="shared" si="12"/>
        <v>0.76968411907982359</v>
      </c>
      <c r="AR15" s="7" t="s">
        <v>7</v>
      </c>
      <c r="AS15" s="15">
        <f t="shared" si="2"/>
        <v>0</v>
      </c>
      <c r="AT15" s="15">
        <f t="shared" si="2"/>
        <v>0</v>
      </c>
      <c r="AU15" s="15">
        <f t="shared" si="2"/>
        <v>0</v>
      </c>
      <c r="AV15" s="15">
        <f t="shared" si="2"/>
        <v>0</v>
      </c>
      <c r="AW15" s="15">
        <f t="shared" si="2"/>
        <v>1</v>
      </c>
      <c r="AX15" s="15">
        <f t="shared" si="2"/>
        <v>0</v>
      </c>
      <c r="AY15" s="15">
        <f t="shared" si="2"/>
        <v>0</v>
      </c>
      <c r="AZ15" s="15">
        <f t="shared" si="2"/>
        <v>0</v>
      </c>
      <c r="BA15" s="53">
        <f t="shared" si="7"/>
        <v>1</v>
      </c>
      <c r="BC15" s="7" t="s">
        <v>7</v>
      </c>
      <c r="BD15">
        <f t="shared" si="8"/>
        <v>0</v>
      </c>
      <c r="BE15">
        <f t="shared" si="3"/>
        <v>3</v>
      </c>
      <c r="BF15">
        <f t="shared" si="3"/>
        <v>0</v>
      </c>
      <c r="BG15">
        <f t="shared" si="3"/>
        <v>6</v>
      </c>
      <c r="BH15">
        <f t="shared" si="3"/>
        <v>5</v>
      </c>
      <c r="BI15">
        <f t="shared" si="3"/>
        <v>3</v>
      </c>
      <c r="BJ15">
        <f t="shared" si="3"/>
        <v>2</v>
      </c>
      <c r="BK15">
        <f t="shared" si="3"/>
        <v>1</v>
      </c>
      <c r="BM15" s="7" t="s">
        <v>7</v>
      </c>
      <c r="BN15" s="13">
        <f t="shared" si="9"/>
        <v>0</v>
      </c>
      <c r="BO15" s="13">
        <f t="shared" si="4"/>
        <v>0.15</v>
      </c>
      <c r="BP15" s="13">
        <f t="shared" si="10"/>
        <v>0</v>
      </c>
      <c r="BQ15" s="13">
        <f t="shared" si="10"/>
        <v>0.3</v>
      </c>
      <c r="BR15" s="13">
        <f t="shared" si="10"/>
        <v>0.25</v>
      </c>
      <c r="BS15" s="13">
        <f t="shared" si="10"/>
        <v>0.15</v>
      </c>
      <c r="BT15" s="13">
        <f t="shared" si="10"/>
        <v>0.1</v>
      </c>
      <c r="BU15" s="13">
        <f t="shared" si="10"/>
        <v>0.05</v>
      </c>
    </row>
    <row r="16" spans="1:73" x14ac:dyDescent="0.25">
      <c r="A16" s="10">
        <f t="shared" si="11"/>
        <v>2018</v>
      </c>
      <c r="B16" s="7" t="s">
        <v>8</v>
      </c>
      <c r="C16" s="14">
        <f>SUMIFS(RATING_DATA!$E:$E,RATING_DATA!$A:$A,'2| Non-Default'!$C$3,RATING_DATA!$B:$B,'2| Non-Default'!$A16,RATING_DATA!$C:$C,'2| Non-Default'!$B16,RATING_DATA!$D:$D,'2| Non-Default'!C$11)</f>
        <v>0</v>
      </c>
      <c r="D16" s="14">
        <f>SUMIFS(RATING_DATA!$E:$E,RATING_DATA!$A:$A,'2| Non-Default'!$C$3,RATING_DATA!$B:$B,'2| Non-Default'!$A16,RATING_DATA!$C:$C,'2| Non-Default'!$B16,RATING_DATA!$D:$D,'2| Non-Default'!D$11)</f>
        <v>0</v>
      </c>
      <c r="E16" s="14">
        <f>SUMIFS(RATING_DATA!$E:$E,RATING_DATA!$A:$A,'2| Non-Default'!$C$3,RATING_DATA!$B:$B,'2| Non-Default'!$A16,RATING_DATA!$C:$C,'2| Non-Default'!$B16,RATING_DATA!$D:$D,'2| Non-Default'!E$11)</f>
        <v>0</v>
      </c>
      <c r="F16" s="14">
        <f>SUMIFS(RATING_DATA!$E:$E,RATING_DATA!$A:$A,'2| Non-Default'!$C$3,RATING_DATA!$B:$B,'2| Non-Default'!$A16,RATING_DATA!$C:$C,'2| Non-Default'!$B16,RATING_DATA!$D:$D,'2| Non-Default'!F$11)</f>
        <v>0</v>
      </c>
      <c r="G16" s="14">
        <f>SUMIFS(RATING_DATA!$E:$E,RATING_DATA!$A:$A,'2| Non-Default'!$C$3,RATING_DATA!$B:$B,'2| Non-Default'!$A16,RATING_DATA!$C:$C,'2| Non-Default'!$B16,RATING_DATA!$D:$D,'2| Non-Default'!G$11)</f>
        <v>2</v>
      </c>
      <c r="H16" s="14">
        <f>SUMIFS(RATING_DATA!$E:$E,RATING_DATA!$A:$A,'2| Non-Default'!$C$3,RATING_DATA!$B:$B,'2| Non-Default'!$A16,RATING_DATA!$C:$C,'2| Non-Default'!$B16,RATING_DATA!$D:$D,'2| Non-Default'!H$11)</f>
        <v>0</v>
      </c>
      <c r="I16" s="14">
        <f>SUMIFS(RATING_DATA!$E:$E,RATING_DATA!$A:$A,'2| Non-Default'!$C$3,RATING_DATA!$B:$B,'2| Non-Default'!$A16,RATING_DATA!$C:$C,'2| Non-Default'!$B16,RATING_DATA!$D:$D,'2| Non-Default'!I$11)</f>
        <v>1</v>
      </c>
      <c r="J16" s="14">
        <f>SUMIFS(RATING_DATA!$E:$E,RATING_DATA!$A:$A,'2| Non-Default'!$C$3,RATING_DATA!$B:$B,'2| Non-Default'!$A16,RATING_DATA!$C:$C,'2| Non-Default'!$B16,RATING_DATA!$D:$D,'2| Non-Default'!J$11)</f>
        <v>0</v>
      </c>
      <c r="K16" s="50">
        <f t="shared" si="5"/>
        <v>3</v>
      </c>
      <c r="L16" s="50"/>
      <c r="M16" s="7" t="s">
        <v>8</v>
      </c>
      <c r="N16" s="13">
        <f t="shared" si="6"/>
        <v>0</v>
      </c>
      <c r="O16" s="13">
        <f t="shared" si="6"/>
        <v>0</v>
      </c>
      <c r="P16" s="13">
        <f t="shared" si="6"/>
        <v>0</v>
      </c>
      <c r="Q16" s="13">
        <f t="shared" si="6"/>
        <v>0</v>
      </c>
      <c r="R16" s="13">
        <f t="shared" si="6"/>
        <v>0.66666666666666663</v>
      </c>
      <c r="S16" s="13">
        <f t="shared" si="6"/>
        <v>0</v>
      </c>
      <c r="T16" s="13">
        <f t="shared" si="6"/>
        <v>0.33333333333333331</v>
      </c>
      <c r="U16" s="13">
        <f t="shared" si="6"/>
        <v>0</v>
      </c>
      <c r="W16" s="7" t="s">
        <v>8</v>
      </c>
      <c r="X16" s="15">
        <f>IFERROR(SUM(N16:$U16),"")</f>
        <v>1</v>
      </c>
      <c r="Y16" s="15">
        <f>IFERROR(SUM(O16:$U16),"")</f>
        <v>1</v>
      </c>
      <c r="Z16" s="15">
        <f>IFERROR(SUM(P16:$U16),"")</f>
        <v>1</v>
      </c>
      <c r="AA16" s="15">
        <f>IFERROR(SUM(Q16:$U16),"")</f>
        <v>1</v>
      </c>
      <c r="AB16" s="15">
        <f>IFERROR(SUM(R16:$U16),"")</f>
        <v>1</v>
      </c>
      <c r="AC16" s="15">
        <f>IFERROR(SUM(S16:$U16),"")</f>
        <v>0.33333333333333331</v>
      </c>
      <c r="AD16" s="15">
        <f>IFERROR(SUM(T16:$U16),"")</f>
        <v>0.33333333333333331</v>
      </c>
      <c r="AE16" s="15">
        <f>IFERROR(SUM(U16:$U16),"")</f>
        <v>0</v>
      </c>
      <c r="AG16" s="7" t="s">
        <v>8</v>
      </c>
      <c r="AH16" s="15">
        <f t="shared" si="1"/>
        <v>1</v>
      </c>
      <c r="AI16" s="15">
        <f t="shared" si="1"/>
        <v>1</v>
      </c>
      <c r="AJ16" s="15">
        <f t="shared" si="1"/>
        <v>1</v>
      </c>
      <c r="AK16" s="15">
        <f t="shared" si="1"/>
        <v>1</v>
      </c>
      <c r="AL16" s="15">
        <f t="shared" si="1"/>
        <v>1</v>
      </c>
      <c r="AM16" s="15">
        <f t="shared" si="1"/>
        <v>0.26307801162409961</v>
      </c>
      <c r="AN16" s="15">
        <f t="shared" si="1"/>
        <v>0.26307801162409961</v>
      </c>
      <c r="AO16" s="15">
        <f t="shared" si="1"/>
        <v>0</v>
      </c>
      <c r="AP16" s="51">
        <f t="shared" si="12"/>
        <v>0.76968411907982359</v>
      </c>
      <c r="AR16" s="7" t="s">
        <v>8</v>
      </c>
      <c r="AS16" s="15">
        <f t="shared" si="2"/>
        <v>0</v>
      </c>
      <c r="AT16" s="15">
        <f t="shared" si="2"/>
        <v>0</v>
      </c>
      <c r="AU16" s="15">
        <f t="shared" si="2"/>
        <v>0</v>
      </c>
      <c r="AV16" s="15">
        <f t="shared" si="2"/>
        <v>0</v>
      </c>
      <c r="AW16" s="15">
        <f t="shared" si="2"/>
        <v>0.73692198837590039</v>
      </c>
      <c r="AX16" s="15">
        <f t="shared" si="2"/>
        <v>0</v>
      </c>
      <c r="AY16" s="15">
        <f t="shared" si="2"/>
        <v>0.26307801162409961</v>
      </c>
      <c r="AZ16" s="15">
        <f t="shared" si="2"/>
        <v>0</v>
      </c>
      <c r="BA16" s="53">
        <f t="shared" si="7"/>
        <v>1</v>
      </c>
      <c r="BC16" s="7" t="s">
        <v>8</v>
      </c>
      <c r="BD16">
        <f t="shared" si="8"/>
        <v>1</v>
      </c>
      <c r="BE16">
        <f t="shared" si="3"/>
        <v>4</v>
      </c>
      <c r="BF16">
        <f t="shared" si="3"/>
        <v>1</v>
      </c>
      <c r="BG16">
        <f t="shared" si="3"/>
        <v>2</v>
      </c>
      <c r="BH16">
        <f t="shared" si="3"/>
        <v>10</v>
      </c>
      <c r="BI16">
        <f t="shared" si="3"/>
        <v>8</v>
      </c>
      <c r="BJ16">
        <f t="shared" si="3"/>
        <v>5</v>
      </c>
      <c r="BK16">
        <f t="shared" si="3"/>
        <v>2</v>
      </c>
      <c r="BM16" s="7" t="s">
        <v>8</v>
      </c>
      <c r="BN16" s="13">
        <f t="shared" si="9"/>
        <v>3.0303030303030304E-2</v>
      </c>
      <c r="BO16" s="13">
        <f t="shared" si="4"/>
        <v>0.12121212121212122</v>
      </c>
      <c r="BP16" s="13">
        <f t="shared" si="10"/>
        <v>3.0303030303030304E-2</v>
      </c>
      <c r="BQ16" s="13">
        <f t="shared" si="10"/>
        <v>6.0606060606060608E-2</v>
      </c>
      <c r="BR16" s="13">
        <f t="shared" si="10"/>
        <v>0.30303030303030304</v>
      </c>
      <c r="BS16" s="13">
        <f t="shared" si="10"/>
        <v>0.24242424242424243</v>
      </c>
      <c r="BT16" s="13">
        <f t="shared" si="10"/>
        <v>0.15151515151515152</v>
      </c>
      <c r="BU16" s="13">
        <f t="shared" si="10"/>
        <v>6.0606060606060608E-2</v>
      </c>
    </row>
    <row r="17" spans="1:73" x14ac:dyDescent="0.25">
      <c r="A17" s="10">
        <f t="shared" si="11"/>
        <v>2018</v>
      </c>
      <c r="B17" s="7" t="s">
        <v>9</v>
      </c>
      <c r="C17" s="14">
        <f>SUMIFS(RATING_DATA!$E:$E,RATING_DATA!$A:$A,'2| Non-Default'!$C$3,RATING_DATA!$B:$B,'2| Non-Default'!$A17,RATING_DATA!$C:$C,'2| Non-Default'!$B17,RATING_DATA!$D:$D,'2| Non-Default'!C$11)</f>
        <v>0</v>
      </c>
      <c r="D17" s="14">
        <f>SUMIFS(RATING_DATA!$E:$E,RATING_DATA!$A:$A,'2| Non-Default'!$C$3,RATING_DATA!$B:$B,'2| Non-Default'!$A17,RATING_DATA!$C:$C,'2| Non-Default'!$B17,RATING_DATA!$D:$D,'2| Non-Default'!D$11)</f>
        <v>0</v>
      </c>
      <c r="E17" s="14">
        <f>SUMIFS(RATING_DATA!$E:$E,RATING_DATA!$A:$A,'2| Non-Default'!$C$3,RATING_DATA!$B:$B,'2| Non-Default'!$A17,RATING_DATA!$C:$C,'2| Non-Default'!$B17,RATING_DATA!$D:$D,'2| Non-Default'!E$11)</f>
        <v>0</v>
      </c>
      <c r="F17" s="14">
        <f>SUMIFS(RATING_DATA!$E:$E,RATING_DATA!$A:$A,'2| Non-Default'!$C$3,RATING_DATA!$B:$B,'2| Non-Default'!$A17,RATING_DATA!$C:$C,'2| Non-Default'!$B17,RATING_DATA!$D:$D,'2| Non-Default'!F$11)</f>
        <v>0</v>
      </c>
      <c r="G17" s="14">
        <f>SUMIFS(RATING_DATA!$E:$E,RATING_DATA!$A:$A,'2| Non-Default'!$C$3,RATING_DATA!$B:$B,'2| Non-Default'!$A17,RATING_DATA!$C:$C,'2| Non-Default'!$B17,RATING_DATA!$D:$D,'2| Non-Default'!G$11)</f>
        <v>2</v>
      </c>
      <c r="H17" s="14">
        <f>SUMIFS(RATING_DATA!$E:$E,RATING_DATA!$A:$A,'2| Non-Default'!$C$3,RATING_DATA!$B:$B,'2| Non-Default'!$A17,RATING_DATA!$C:$C,'2| Non-Default'!$B17,RATING_DATA!$D:$D,'2| Non-Default'!H$11)</f>
        <v>9</v>
      </c>
      <c r="I17" s="14">
        <f>SUMIFS(RATING_DATA!$E:$E,RATING_DATA!$A:$A,'2| Non-Default'!$C$3,RATING_DATA!$B:$B,'2| Non-Default'!$A17,RATING_DATA!$C:$C,'2| Non-Default'!$B17,RATING_DATA!$D:$D,'2| Non-Default'!I$11)</f>
        <v>4</v>
      </c>
      <c r="J17" s="14">
        <f>SUMIFS(RATING_DATA!$E:$E,RATING_DATA!$A:$A,'2| Non-Default'!$C$3,RATING_DATA!$B:$B,'2| Non-Default'!$A17,RATING_DATA!$C:$C,'2| Non-Default'!$B17,RATING_DATA!$D:$D,'2| Non-Default'!J$11)</f>
        <v>1</v>
      </c>
      <c r="K17" s="50">
        <f t="shared" si="5"/>
        <v>16</v>
      </c>
      <c r="L17" s="50"/>
      <c r="M17" s="7" t="s">
        <v>9</v>
      </c>
      <c r="N17" s="13">
        <f t="shared" si="6"/>
        <v>0</v>
      </c>
      <c r="O17" s="13">
        <f t="shared" si="6"/>
        <v>0</v>
      </c>
      <c r="P17" s="13">
        <f t="shared" si="6"/>
        <v>0</v>
      </c>
      <c r="Q17" s="13">
        <f t="shared" si="6"/>
        <v>0</v>
      </c>
      <c r="R17" s="13">
        <f t="shared" si="6"/>
        <v>0.125</v>
      </c>
      <c r="S17" s="13">
        <f t="shared" si="6"/>
        <v>0.5625</v>
      </c>
      <c r="T17" s="13">
        <f t="shared" si="6"/>
        <v>0.25</v>
      </c>
      <c r="U17" s="13">
        <f t="shared" si="6"/>
        <v>6.25E-2</v>
      </c>
      <c r="W17" s="7" t="s">
        <v>9</v>
      </c>
      <c r="X17" s="15">
        <f>IFERROR(SUM(N17:$U17),"")</f>
        <v>1</v>
      </c>
      <c r="Y17" s="15">
        <f>IFERROR(SUM(O17:$U17),"")</f>
        <v>1</v>
      </c>
      <c r="Z17" s="15">
        <f>IFERROR(SUM(P17:$U17),"")</f>
        <v>1</v>
      </c>
      <c r="AA17" s="15">
        <f>IFERROR(SUM(Q17:$U17),"")</f>
        <v>1</v>
      </c>
      <c r="AB17" s="15">
        <f>IFERROR(SUM(R17:$U17),"")</f>
        <v>1</v>
      </c>
      <c r="AC17" s="15">
        <f>IFERROR(SUM(S17:$U17),"")</f>
        <v>0.875</v>
      </c>
      <c r="AD17" s="15">
        <f>IFERROR(SUM(T17:$U17),"")</f>
        <v>0.3125</v>
      </c>
      <c r="AE17" s="15">
        <f>IFERROR(SUM(U17:$U17),"")</f>
        <v>6.25E-2</v>
      </c>
      <c r="AG17" s="7" t="s">
        <v>9</v>
      </c>
      <c r="AH17" s="15">
        <f t="shared" si="1"/>
        <v>1</v>
      </c>
      <c r="AI17" s="15">
        <f t="shared" si="1"/>
        <v>1</v>
      </c>
      <c r="AJ17" s="15">
        <f t="shared" si="1"/>
        <v>1</v>
      </c>
      <c r="AK17" s="15">
        <f t="shared" si="1"/>
        <v>1</v>
      </c>
      <c r="AL17" s="15">
        <f t="shared" si="1"/>
        <v>1</v>
      </c>
      <c r="AM17" s="15">
        <f t="shared" si="1"/>
        <v>0.81067775800035802</v>
      </c>
      <c r="AN17" s="15">
        <f t="shared" si="1"/>
        <v>0.24526015512550198</v>
      </c>
      <c r="AO17" s="15">
        <f t="shared" si="1"/>
        <v>4.5450564749820177E-2</v>
      </c>
      <c r="AP17" s="51">
        <f t="shared" si="12"/>
        <v>0.76968411907982359</v>
      </c>
      <c r="AR17" s="7" t="s">
        <v>9</v>
      </c>
      <c r="AS17" s="15">
        <f t="shared" si="2"/>
        <v>0</v>
      </c>
      <c r="AT17" s="15">
        <f t="shared" si="2"/>
        <v>0</v>
      </c>
      <c r="AU17" s="15">
        <f t="shared" si="2"/>
        <v>0</v>
      </c>
      <c r="AV17" s="15">
        <f t="shared" si="2"/>
        <v>0</v>
      </c>
      <c r="AW17" s="15">
        <f t="shared" si="2"/>
        <v>0.18932224199964198</v>
      </c>
      <c r="AX17" s="15">
        <f t="shared" si="2"/>
        <v>0.5654176028748561</v>
      </c>
      <c r="AY17" s="15">
        <f t="shared" si="2"/>
        <v>0.1998095903756818</v>
      </c>
      <c r="AZ17" s="15">
        <f t="shared" si="2"/>
        <v>4.5450564749820177E-2</v>
      </c>
      <c r="BA17" s="53">
        <f t="shared" si="7"/>
        <v>1</v>
      </c>
      <c r="BC17" s="7" t="s">
        <v>9</v>
      </c>
      <c r="BD17">
        <f t="shared" si="8"/>
        <v>0</v>
      </c>
      <c r="BE17">
        <f t="shared" si="3"/>
        <v>1</v>
      </c>
      <c r="BF17">
        <f t="shared" si="3"/>
        <v>0</v>
      </c>
      <c r="BG17">
        <f t="shared" si="3"/>
        <v>7</v>
      </c>
      <c r="BH17">
        <f t="shared" si="3"/>
        <v>7</v>
      </c>
      <c r="BI17">
        <f t="shared" si="3"/>
        <v>27</v>
      </c>
      <c r="BJ17">
        <f t="shared" si="3"/>
        <v>15</v>
      </c>
      <c r="BK17">
        <f t="shared" si="3"/>
        <v>8</v>
      </c>
      <c r="BM17" s="7" t="s">
        <v>9</v>
      </c>
      <c r="BN17" s="13">
        <f t="shared" si="9"/>
        <v>0</v>
      </c>
      <c r="BO17" s="13">
        <f t="shared" si="4"/>
        <v>1.5384615384615385E-2</v>
      </c>
      <c r="BP17" s="13">
        <f t="shared" si="10"/>
        <v>0</v>
      </c>
      <c r="BQ17" s="13">
        <f t="shared" si="10"/>
        <v>0.1076923076923077</v>
      </c>
      <c r="BR17" s="13">
        <f t="shared" si="10"/>
        <v>0.1076923076923077</v>
      </c>
      <c r="BS17" s="13">
        <f t="shared" si="10"/>
        <v>0.41538461538461541</v>
      </c>
      <c r="BT17" s="13">
        <f t="shared" si="10"/>
        <v>0.23076923076923078</v>
      </c>
      <c r="BU17" s="13">
        <f t="shared" si="10"/>
        <v>0.12307692307692308</v>
      </c>
    </row>
    <row r="18" spans="1:73" x14ac:dyDescent="0.25">
      <c r="A18" s="10">
        <f t="shared" si="11"/>
        <v>2018</v>
      </c>
      <c r="B18" s="7" t="s">
        <v>10</v>
      </c>
      <c r="C18" s="14">
        <f>SUMIFS(RATING_DATA!$E:$E,RATING_DATA!$A:$A,'2| Non-Default'!$C$3,RATING_DATA!$B:$B,'2| Non-Default'!$A18,RATING_DATA!$C:$C,'2| Non-Default'!$B18,RATING_DATA!$D:$D,'2| Non-Default'!C$11)</f>
        <v>0</v>
      </c>
      <c r="D18" s="14">
        <f>SUMIFS(RATING_DATA!$E:$E,RATING_DATA!$A:$A,'2| Non-Default'!$C$3,RATING_DATA!$B:$B,'2| Non-Default'!$A18,RATING_DATA!$C:$C,'2| Non-Default'!$B18,RATING_DATA!$D:$D,'2| Non-Default'!D$11)</f>
        <v>0</v>
      </c>
      <c r="E18" s="14">
        <f>SUMIFS(RATING_DATA!$E:$E,RATING_DATA!$A:$A,'2| Non-Default'!$C$3,RATING_DATA!$B:$B,'2| Non-Default'!$A18,RATING_DATA!$C:$C,'2| Non-Default'!$B18,RATING_DATA!$D:$D,'2| Non-Default'!E$11)</f>
        <v>0</v>
      </c>
      <c r="F18" s="14">
        <f>SUMIFS(RATING_DATA!$E:$E,RATING_DATA!$A:$A,'2| Non-Default'!$C$3,RATING_DATA!$B:$B,'2| Non-Default'!$A18,RATING_DATA!$C:$C,'2| Non-Default'!$B18,RATING_DATA!$D:$D,'2| Non-Default'!F$11)</f>
        <v>1</v>
      </c>
      <c r="G18" s="14">
        <f>SUMIFS(RATING_DATA!$E:$E,RATING_DATA!$A:$A,'2| Non-Default'!$C$3,RATING_DATA!$B:$B,'2| Non-Default'!$A18,RATING_DATA!$C:$C,'2| Non-Default'!$B18,RATING_DATA!$D:$D,'2| Non-Default'!G$11)</f>
        <v>0</v>
      </c>
      <c r="H18" s="14">
        <f>SUMIFS(RATING_DATA!$E:$E,RATING_DATA!$A:$A,'2| Non-Default'!$C$3,RATING_DATA!$B:$B,'2| Non-Default'!$A18,RATING_DATA!$C:$C,'2| Non-Default'!$B18,RATING_DATA!$D:$D,'2| Non-Default'!H$11)</f>
        <v>1</v>
      </c>
      <c r="I18" s="14">
        <f>SUMIFS(RATING_DATA!$E:$E,RATING_DATA!$A:$A,'2| Non-Default'!$C$3,RATING_DATA!$B:$B,'2| Non-Default'!$A18,RATING_DATA!$C:$C,'2| Non-Default'!$B18,RATING_DATA!$D:$D,'2| Non-Default'!I$11)</f>
        <v>3</v>
      </c>
      <c r="J18" s="14">
        <f>SUMIFS(RATING_DATA!$E:$E,RATING_DATA!$A:$A,'2| Non-Default'!$C$3,RATING_DATA!$B:$B,'2| Non-Default'!$A18,RATING_DATA!$C:$C,'2| Non-Default'!$B18,RATING_DATA!$D:$D,'2| Non-Default'!J$11)</f>
        <v>3</v>
      </c>
      <c r="K18" s="50">
        <f t="shared" si="5"/>
        <v>8</v>
      </c>
      <c r="L18" s="50"/>
      <c r="M18" s="7" t="s">
        <v>10</v>
      </c>
      <c r="N18" s="13">
        <f t="shared" si="6"/>
        <v>0</v>
      </c>
      <c r="O18" s="13">
        <f t="shared" si="6"/>
        <v>0</v>
      </c>
      <c r="P18" s="13">
        <f t="shared" si="6"/>
        <v>0</v>
      </c>
      <c r="Q18" s="13">
        <f t="shared" si="6"/>
        <v>0.125</v>
      </c>
      <c r="R18" s="13">
        <f t="shared" si="6"/>
        <v>0</v>
      </c>
      <c r="S18" s="13">
        <f t="shared" si="6"/>
        <v>0.125</v>
      </c>
      <c r="T18" s="13">
        <f t="shared" si="6"/>
        <v>0.375</v>
      </c>
      <c r="U18" s="13">
        <f t="shared" si="6"/>
        <v>0.375</v>
      </c>
      <c r="W18" s="7" t="s">
        <v>10</v>
      </c>
      <c r="X18" s="15">
        <f>IFERROR(SUM(N18:$U18),"")</f>
        <v>1</v>
      </c>
      <c r="Y18" s="15">
        <f>IFERROR(SUM(O18:$U18),"")</f>
        <v>1</v>
      </c>
      <c r="Z18" s="15">
        <f>IFERROR(SUM(P18:$U18),"")</f>
        <v>1</v>
      </c>
      <c r="AA18" s="15">
        <f>IFERROR(SUM(Q18:$U18),"")</f>
        <v>1</v>
      </c>
      <c r="AB18" s="15">
        <f>IFERROR(SUM(R18:$U18),"")</f>
        <v>0.875</v>
      </c>
      <c r="AC18" s="15">
        <f>IFERROR(SUM(S18:$U18),"")</f>
        <v>0.875</v>
      </c>
      <c r="AD18" s="15">
        <f>IFERROR(SUM(T18:$U18),"")</f>
        <v>0.75</v>
      </c>
      <c r="AE18" s="15">
        <f>IFERROR(SUM(U18:$U18),"")</f>
        <v>0.375</v>
      </c>
      <c r="AG18" s="7" t="s">
        <v>10</v>
      </c>
      <c r="AH18" s="15">
        <f t="shared" si="1"/>
        <v>1</v>
      </c>
      <c r="AI18" s="15">
        <f t="shared" si="1"/>
        <v>1</v>
      </c>
      <c r="AJ18" s="15">
        <f t="shared" si="1"/>
        <v>1</v>
      </c>
      <c r="AK18" s="15">
        <f t="shared" si="1"/>
        <v>1</v>
      </c>
      <c r="AL18" s="15">
        <f t="shared" si="1"/>
        <v>0.81067775800035802</v>
      </c>
      <c r="AM18" s="15">
        <f t="shared" si="1"/>
        <v>0.81067775800035802</v>
      </c>
      <c r="AN18" s="15">
        <f t="shared" si="1"/>
        <v>0.66445061663380789</v>
      </c>
      <c r="AO18" s="15">
        <f t="shared" si="1"/>
        <v>0.29925924822130057</v>
      </c>
      <c r="AP18" s="51">
        <f t="shared" si="12"/>
        <v>0.76968411907982359</v>
      </c>
      <c r="AR18" s="7" t="s">
        <v>10</v>
      </c>
      <c r="AS18" s="15">
        <f t="shared" si="2"/>
        <v>0</v>
      </c>
      <c r="AT18" s="15">
        <f t="shared" si="2"/>
        <v>0</v>
      </c>
      <c r="AU18" s="15">
        <f t="shared" si="2"/>
        <v>0</v>
      </c>
      <c r="AV18" s="15">
        <f t="shared" si="2"/>
        <v>0.18932224199964198</v>
      </c>
      <c r="AW18" s="15">
        <f t="shared" si="2"/>
        <v>0</v>
      </c>
      <c r="AX18" s="15">
        <f t="shared" si="2"/>
        <v>0.14622714136655013</v>
      </c>
      <c r="AY18" s="15">
        <f t="shared" si="2"/>
        <v>0.36519136841250732</v>
      </c>
      <c r="AZ18" s="15">
        <f t="shared" si="2"/>
        <v>0.29925924822130057</v>
      </c>
      <c r="BA18" s="53">
        <f t="shared" si="7"/>
        <v>1</v>
      </c>
      <c r="BC18" s="7" t="s">
        <v>10</v>
      </c>
      <c r="BD18">
        <f t="shared" si="8"/>
        <v>0</v>
      </c>
      <c r="BE18">
        <f t="shared" si="3"/>
        <v>0</v>
      </c>
      <c r="BF18">
        <f t="shared" si="3"/>
        <v>0</v>
      </c>
      <c r="BG18">
        <f t="shared" si="3"/>
        <v>2</v>
      </c>
      <c r="BH18">
        <f t="shared" si="3"/>
        <v>4</v>
      </c>
      <c r="BI18">
        <f t="shared" si="3"/>
        <v>12</v>
      </c>
      <c r="BJ18">
        <f t="shared" si="3"/>
        <v>10</v>
      </c>
      <c r="BK18">
        <f t="shared" si="3"/>
        <v>9</v>
      </c>
      <c r="BM18" s="7" t="s">
        <v>10</v>
      </c>
      <c r="BN18" s="13">
        <f t="shared" si="9"/>
        <v>0</v>
      </c>
      <c r="BO18" s="13">
        <f t="shared" si="4"/>
        <v>0</v>
      </c>
      <c r="BP18" s="13">
        <f t="shared" si="10"/>
        <v>0</v>
      </c>
      <c r="BQ18" s="13">
        <f t="shared" si="10"/>
        <v>5.4054054054054057E-2</v>
      </c>
      <c r="BR18" s="13">
        <f t="shared" si="10"/>
        <v>0.10810810810810811</v>
      </c>
      <c r="BS18" s="13">
        <f t="shared" si="10"/>
        <v>0.32432432432432434</v>
      </c>
      <c r="BT18" s="13">
        <f t="shared" si="10"/>
        <v>0.27027027027027029</v>
      </c>
      <c r="BU18" s="13">
        <f t="shared" si="10"/>
        <v>0.24324324324324326</v>
      </c>
    </row>
    <row r="19" spans="1:73" x14ac:dyDescent="0.25">
      <c r="A19" s="10">
        <f t="shared" si="11"/>
        <v>2018</v>
      </c>
      <c r="B19" s="7" t="s">
        <v>11</v>
      </c>
      <c r="C19" s="14">
        <f>SUMIFS(RATING_DATA!$E:$E,RATING_DATA!$A:$A,'2| Non-Default'!$C$3,RATING_DATA!$B:$B,'2| Non-Default'!$A19,RATING_DATA!$C:$C,'2| Non-Default'!$B19,RATING_DATA!$D:$D,'2| Non-Default'!C$11)</f>
        <v>0</v>
      </c>
      <c r="D19" s="14">
        <f>SUMIFS(RATING_DATA!$E:$E,RATING_DATA!$A:$A,'2| Non-Default'!$C$3,RATING_DATA!$B:$B,'2| Non-Default'!$A19,RATING_DATA!$C:$C,'2| Non-Default'!$B19,RATING_DATA!$D:$D,'2| Non-Default'!D$11)</f>
        <v>0</v>
      </c>
      <c r="E19" s="14">
        <f>SUMIFS(RATING_DATA!$E:$E,RATING_DATA!$A:$A,'2| Non-Default'!$C$3,RATING_DATA!$B:$B,'2| Non-Default'!$A19,RATING_DATA!$C:$C,'2| Non-Default'!$B19,RATING_DATA!$D:$D,'2| Non-Default'!E$11)</f>
        <v>0</v>
      </c>
      <c r="F19" s="14">
        <f>SUMIFS(RATING_DATA!$E:$E,RATING_DATA!$A:$A,'2| Non-Default'!$C$3,RATING_DATA!$B:$B,'2| Non-Default'!$A19,RATING_DATA!$C:$C,'2| Non-Default'!$B19,RATING_DATA!$D:$D,'2| Non-Default'!F$11)</f>
        <v>0</v>
      </c>
      <c r="G19" s="14">
        <f>SUMIFS(RATING_DATA!$E:$E,RATING_DATA!$A:$A,'2| Non-Default'!$C$3,RATING_DATA!$B:$B,'2| Non-Default'!$A19,RATING_DATA!$C:$C,'2| Non-Default'!$B19,RATING_DATA!$D:$D,'2| Non-Default'!G$11)</f>
        <v>1</v>
      </c>
      <c r="H19" s="14">
        <f>SUMIFS(RATING_DATA!$E:$E,RATING_DATA!$A:$A,'2| Non-Default'!$C$3,RATING_DATA!$B:$B,'2| Non-Default'!$A19,RATING_DATA!$C:$C,'2| Non-Default'!$B19,RATING_DATA!$D:$D,'2| Non-Default'!H$11)</f>
        <v>0</v>
      </c>
      <c r="I19" s="14">
        <f>SUMIFS(RATING_DATA!$E:$E,RATING_DATA!$A:$A,'2| Non-Default'!$C$3,RATING_DATA!$B:$B,'2| Non-Default'!$A19,RATING_DATA!$C:$C,'2| Non-Default'!$B19,RATING_DATA!$D:$D,'2| Non-Default'!I$11)</f>
        <v>0</v>
      </c>
      <c r="J19" s="14">
        <f>SUMIFS(RATING_DATA!$E:$E,RATING_DATA!$A:$A,'2| Non-Default'!$C$3,RATING_DATA!$B:$B,'2| Non-Default'!$A19,RATING_DATA!$C:$C,'2| Non-Default'!$B19,RATING_DATA!$D:$D,'2| Non-Default'!J$11)</f>
        <v>4</v>
      </c>
      <c r="K19" s="50">
        <f t="shared" si="5"/>
        <v>5</v>
      </c>
      <c r="L19" s="50"/>
      <c r="M19" s="7" t="s">
        <v>11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0.2</v>
      </c>
      <c r="S19" s="13">
        <f t="shared" si="6"/>
        <v>0</v>
      </c>
      <c r="T19" s="13">
        <f t="shared" si="6"/>
        <v>0</v>
      </c>
      <c r="U19" s="13">
        <f t="shared" si="6"/>
        <v>0.8</v>
      </c>
      <c r="W19" s="7" t="s">
        <v>11</v>
      </c>
      <c r="X19" s="15">
        <f>IFERROR(SUM(N19:$U19),"")</f>
        <v>1</v>
      </c>
      <c r="Y19" s="15">
        <f>IFERROR(SUM(O19:$U19),"")</f>
        <v>1</v>
      </c>
      <c r="Z19" s="15">
        <f>IFERROR(SUM(P19:$U19),"")</f>
        <v>1</v>
      </c>
      <c r="AA19" s="15">
        <f>IFERROR(SUM(Q19:$U19),"")</f>
        <v>1</v>
      </c>
      <c r="AB19" s="15">
        <f>IFERROR(SUM(R19:$U19),"")</f>
        <v>1</v>
      </c>
      <c r="AC19" s="15">
        <f>IFERROR(SUM(S19:$U19),"")</f>
        <v>0.8</v>
      </c>
      <c r="AD19" s="15">
        <f>IFERROR(SUM(T19:$U19),"")</f>
        <v>0.8</v>
      </c>
      <c r="AE19" s="15">
        <f>IFERROR(SUM(U19:$U19),"")</f>
        <v>0.8</v>
      </c>
      <c r="AG19" s="7" t="s">
        <v>11</v>
      </c>
      <c r="AH19" s="15">
        <f t="shared" si="1"/>
        <v>1</v>
      </c>
      <c r="AI19" s="15">
        <f t="shared" si="1"/>
        <v>1</v>
      </c>
      <c r="AJ19" s="15">
        <f t="shared" si="1"/>
        <v>1</v>
      </c>
      <c r="AK19" s="15">
        <f t="shared" si="1"/>
        <v>1</v>
      </c>
      <c r="AL19" s="15">
        <f t="shared" si="1"/>
        <v>1</v>
      </c>
      <c r="AM19" s="15">
        <f t="shared" si="1"/>
        <v>0.72062904767332092</v>
      </c>
      <c r="AN19" s="15">
        <f t="shared" si="1"/>
        <v>0.72062904767332092</v>
      </c>
      <c r="AO19" s="15">
        <f t="shared" si="1"/>
        <v>0.72062904767332092</v>
      </c>
      <c r="AP19" s="51">
        <f t="shared" si="12"/>
        <v>0.76968411907982359</v>
      </c>
      <c r="AR19" s="7" t="s">
        <v>11</v>
      </c>
      <c r="AS19" s="15">
        <f t="shared" si="2"/>
        <v>0</v>
      </c>
      <c r="AT19" s="15">
        <f t="shared" si="2"/>
        <v>0</v>
      </c>
      <c r="AU19" s="15">
        <f t="shared" si="2"/>
        <v>0</v>
      </c>
      <c r="AV19" s="15">
        <f t="shared" si="2"/>
        <v>0</v>
      </c>
      <c r="AW19" s="15">
        <f t="shared" si="2"/>
        <v>0.27937095232667908</v>
      </c>
      <c r="AX19" s="15">
        <f t="shared" si="2"/>
        <v>0</v>
      </c>
      <c r="AY19" s="15">
        <f t="shared" si="2"/>
        <v>0</v>
      </c>
      <c r="AZ19" s="15">
        <f t="shared" si="2"/>
        <v>0.72062904767332092</v>
      </c>
      <c r="BA19" s="53">
        <f t="shared" si="7"/>
        <v>1</v>
      </c>
      <c r="BC19" s="7" t="s">
        <v>11</v>
      </c>
      <c r="BD19">
        <f t="shared" si="8"/>
        <v>0</v>
      </c>
      <c r="BE19">
        <f t="shared" si="3"/>
        <v>0</v>
      </c>
      <c r="BF19">
        <f t="shared" si="3"/>
        <v>0</v>
      </c>
      <c r="BG19">
        <f t="shared" si="3"/>
        <v>0</v>
      </c>
      <c r="BH19">
        <f t="shared" si="3"/>
        <v>4</v>
      </c>
      <c r="BI19">
        <f t="shared" si="3"/>
        <v>6</v>
      </c>
      <c r="BJ19">
        <f t="shared" si="3"/>
        <v>9</v>
      </c>
      <c r="BK19">
        <f t="shared" si="3"/>
        <v>29</v>
      </c>
      <c r="BM19" s="7" t="s">
        <v>11</v>
      </c>
      <c r="BN19" s="13">
        <f t="shared" si="9"/>
        <v>0</v>
      </c>
      <c r="BO19" s="13">
        <f t="shared" si="4"/>
        <v>0</v>
      </c>
      <c r="BP19" s="13">
        <f t="shared" si="10"/>
        <v>0</v>
      </c>
      <c r="BQ19" s="13">
        <f t="shared" si="10"/>
        <v>0</v>
      </c>
      <c r="BR19" s="13">
        <f t="shared" si="10"/>
        <v>8.3333333333333329E-2</v>
      </c>
      <c r="BS19" s="13">
        <f t="shared" si="10"/>
        <v>0.125</v>
      </c>
      <c r="BT19" s="13">
        <f t="shared" si="10"/>
        <v>0.1875</v>
      </c>
      <c r="BU19" s="13">
        <f t="shared" si="10"/>
        <v>0.60416666666666663</v>
      </c>
    </row>
    <row r="21" spans="1:73" x14ac:dyDescent="0.25">
      <c r="B21" s="5" t="s">
        <v>1</v>
      </c>
      <c r="C21" s="5" t="s">
        <v>2</v>
      </c>
      <c r="M21" s="5" t="s">
        <v>1</v>
      </c>
      <c r="N21" s="5" t="s">
        <v>2</v>
      </c>
      <c r="W21" s="5" t="s">
        <v>1</v>
      </c>
      <c r="X21" s="5" t="s">
        <v>2</v>
      </c>
      <c r="AG21" s="5" t="s">
        <v>1</v>
      </c>
      <c r="AH21" s="5" t="s">
        <v>2</v>
      </c>
      <c r="AJ21" s="16" t="s">
        <v>18</v>
      </c>
      <c r="AR21" s="5" t="s">
        <v>1</v>
      </c>
      <c r="AS21" s="5" t="s">
        <v>2</v>
      </c>
    </row>
    <row r="22" spans="1:73" x14ac:dyDescent="0.25">
      <c r="B22" s="6">
        <f>B8+1</f>
        <v>2019</v>
      </c>
      <c r="C22" s="6">
        <f>B22+1</f>
        <v>2020</v>
      </c>
      <c r="M22" s="6">
        <f>B22</f>
        <v>2019</v>
      </c>
      <c r="N22" s="6">
        <f>M22+1</f>
        <v>2020</v>
      </c>
      <c r="W22" s="6">
        <f>M22</f>
        <v>2019</v>
      </c>
      <c r="X22" s="6">
        <f>W22+1</f>
        <v>2020</v>
      </c>
      <c r="AG22" s="6">
        <f>W22</f>
        <v>2019</v>
      </c>
      <c r="AH22" s="6">
        <f>AG22+1</f>
        <v>2020</v>
      </c>
      <c r="AJ22" s="18">
        <f>VLOOKUP($AG22,'1| Parameter'!$B$15:$E$20,4,FALSE)</f>
        <v>0.33676397593427682</v>
      </c>
      <c r="AR22" s="6">
        <f>AG22</f>
        <v>2019</v>
      </c>
      <c r="AS22" s="6">
        <f>AR22+1</f>
        <v>2020</v>
      </c>
    </row>
    <row r="24" spans="1:73" x14ac:dyDescent="0.25">
      <c r="C24" s="11">
        <v>1</v>
      </c>
      <c r="D24" s="11">
        <v>2</v>
      </c>
      <c r="E24" s="11">
        <v>3</v>
      </c>
      <c r="F24" s="11">
        <v>4</v>
      </c>
      <c r="G24" s="11">
        <v>5</v>
      </c>
      <c r="H24" s="11">
        <v>6</v>
      </c>
      <c r="I24" s="11">
        <v>7</v>
      </c>
      <c r="J24" s="11">
        <v>8</v>
      </c>
      <c r="N24" s="11">
        <v>1</v>
      </c>
      <c r="O24" s="11">
        <v>2</v>
      </c>
      <c r="P24" s="11">
        <v>3</v>
      </c>
      <c r="Q24" s="11">
        <v>4</v>
      </c>
      <c r="R24" s="11">
        <v>5</v>
      </c>
      <c r="S24" s="11">
        <v>6</v>
      </c>
      <c r="T24" s="11">
        <v>7</v>
      </c>
      <c r="U24" s="11">
        <v>8</v>
      </c>
      <c r="X24" s="11">
        <v>1</v>
      </c>
      <c r="Y24" s="11">
        <v>2</v>
      </c>
      <c r="Z24" s="11">
        <v>3</v>
      </c>
      <c r="AA24" s="11">
        <v>4</v>
      </c>
      <c r="AB24" s="11">
        <v>5</v>
      </c>
      <c r="AC24" s="11">
        <v>6</v>
      </c>
      <c r="AD24" s="11">
        <v>7</v>
      </c>
      <c r="AE24" s="11">
        <v>8</v>
      </c>
      <c r="AH24" s="11">
        <v>1</v>
      </c>
      <c r="AI24" s="11">
        <v>2</v>
      </c>
      <c r="AJ24" s="11">
        <v>3</v>
      </c>
      <c r="AK24" s="11">
        <v>4</v>
      </c>
      <c r="AL24" s="11">
        <v>5</v>
      </c>
      <c r="AM24" s="11">
        <v>6</v>
      </c>
      <c r="AN24" s="11">
        <v>7</v>
      </c>
      <c r="AO24" s="11">
        <v>8</v>
      </c>
      <c r="AS24" s="11">
        <v>1</v>
      </c>
      <c r="AT24" s="11">
        <v>2</v>
      </c>
      <c r="AU24" s="11">
        <v>3</v>
      </c>
      <c r="AV24" s="11">
        <v>4</v>
      </c>
      <c r="AW24" s="11">
        <v>5</v>
      </c>
      <c r="AX24" s="11">
        <v>6</v>
      </c>
      <c r="AY24" s="11">
        <v>7</v>
      </c>
      <c r="AZ24" s="11">
        <v>8</v>
      </c>
    </row>
    <row r="25" spans="1:73" x14ac:dyDescent="0.25">
      <c r="B25" s="8" t="s">
        <v>12</v>
      </c>
      <c r="C25" s="9" t="s">
        <v>3</v>
      </c>
      <c r="D25" s="9" t="s">
        <v>5</v>
      </c>
      <c r="E25" s="9" t="s">
        <v>6</v>
      </c>
      <c r="F25" s="9" t="s">
        <v>7</v>
      </c>
      <c r="G25" s="9" t="s">
        <v>8</v>
      </c>
      <c r="H25" s="9" t="s">
        <v>9</v>
      </c>
      <c r="I25" s="9" t="s">
        <v>10</v>
      </c>
      <c r="J25" s="9" t="s">
        <v>11</v>
      </c>
      <c r="K25" s="11" t="s">
        <v>22</v>
      </c>
      <c r="L25" s="11"/>
      <c r="M25" s="8" t="s">
        <v>12</v>
      </c>
      <c r="N25" s="9" t="s">
        <v>3</v>
      </c>
      <c r="O25" s="9" t="s">
        <v>5</v>
      </c>
      <c r="P25" s="9" t="s">
        <v>6</v>
      </c>
      <c r="Q25" s="9" t="s">
        <v>7</v>
      </c>
      <c r="R25" s="9" t="s">
        <v>8</v>
      </c>
      <c r="S25" s="9" t="s">
        <v>9</v>
      </c>
      <c r="T25" s="9" t="s">
        <v>10</v>
      </c>
      <c r="U25" s="9" t="s">
        <v>11</v>
      </c>
      <c r="W25" s="8" t="s">
        <v>12</v>
      </c>
      <c r="X25" s="9" t="s">
        <v>3</v>
      </c>
      <c r="Y25" s="9" t="s">
        <v>5</v>
      </c>
      <c r="Z25" s="9" t="s">
        <v>6</v>
      </c>
      <c r="AA25" s="9" t="s">
        <v>7</v>
      </c>
      <c r="AB25" s="9" t="s">
        <v>8</v>
      </c>
      <c r="AC25" s="9" t="s">
        <v>9</v>
      </c>
      <c r="AD25" s="9" t="s">
        <v>10</v>
      </c>
      <c r="AE25" s="9" t="s">
        <v>11</v>
      </c>
      <c r="AG25" s="8" t="s">
        <v>12</v>
      </c>
      <c r="AH25" s="9" t="s">
        <v>3</v>
      </c>
      <c r="AI25" s="9" t="s">
        <v>5</v>
      </c>
      <c r="AJ25" s="9" t="s">
        <v>6</v>
      </c>
      <c r="AK25" s="9" t="s">
        <v>7</v>
      </c>
      <c r="AL25" s="9" t="s">
        <v>8</v>
      </c>
      <c r="AM25" s="9" t="s">
        <v>9</v>
      </c>
      <c r="AN25" s="9" t="s">
        <v>10</v>
      </c>
      <c r="AO25" s="9" t="s">
        <v>11</v>
      </c>
      <c r="AP25" s="11" t="s">
        <v>18</v>
      </c>
      <c r="AR25" s="8" t="s">
        <v>12</v>
      </c>
      <c r="AS25" s="9" t="s">
        <v>3</v>
      </c>
      <c r="AT25" s="9" t="s">
        <v>5</v>
      </c>
      <c r="AU25" s="9" t="s">
        <v>6</v>
      </c>
      <c r="AV25" s="9" t="s">
        <v>7</v>
      </c>
      <c r="AW25" s="9" t="s">
        <v>8</v>
      </c>
      <c r="AX25" s="9" t="s">
        <v>9</v>
      </c>
      <c r="AY25" s="9" t="s">
        <v>10</v>
      </c>
      <c r="AZ25" s="9" t="s">
        <v>11</v>
      </c>
    </row>
    <row r="26" spans="1:73" x14ac:dyDescent="0.25">
      <c r="A26" s="10">
        <f>B22</f>
        <v>2019</v>
      </c>
      <c r="B26" s="7" t="s">
        <v>3</v>
      </c>
      <c r="C26" s="14">
        <f>SUMIFS(RATING_DATA!$E:$E,RATING_DATA!$A:$A,'2| Non-Default'!$C$3,RATING_DATA!$B:$B,'2| Non-Default'!$A26,RATING_DATA!$C:$C,'2| Non-Default'!$B26,RATING_DATA!$D:$D,'2| Non-Default'!C$11)</f>
        <v>0</v>
      </c>
      <c r="D26" s="14">
        <f>SUMIFS(RATING_DATA!$E:$E,RATING_DATA!$A:$A,'2| Non-Default'!$C$3,RATING_DATA!$B:$B,'2| Non-Default'!$A26,RATING_DATA!$C:$C,'2| Non-Default'!$B26,RATING_DATA!$D:$D,'2| Non-Default'!D$11)</f>
        <v>0</v>
      </c>
      <c r="E26" s="14">
        <f>SUMIFS(RATING_DATA!$E:$E,RATING_DATA!$A:$A,'2| Non-Default'!$C$3,RATING_DATA!$B:$B,'2| Non-Default'!$A26,RATING_DATA!$C:$C,'2| Non-Default'!$B26,RATING_DATA!$D:$D,'2| Non-Default'!E$11)</f>
        <v>0</v>
      </c>
      <c r="F26" s="14">
        <f>SUMIFS(RATING_DATA!$E:$E,RATING_DATA!$A:$A,'2| Non-Default'!$C$3,RATING_DATA!$B:$B,'2| Non-Default'!$A26,RATING_DATA!$C:$C,'2| Non-Default'!$B26,RATING_DATA!$D:$D,'2| Non-Default'!F$11)</f>
        <v>0</v>
      </c>
      <c r="G26" s="14">
        <f>SUMIFS(RATING_DATA!$E:$E,RATING_DATA!$A:$A,'2| Non-Default'!$C$3,RATING_DATA!$B:$B,'2| Non-Default'!$A26,RATING_DATA!$C:$C,'2| Non-Default'!$B26,RATING_DATA!$D:$D,'2| Non-Default'!G$11)</f>
        <v>0</v>
      </c>
      <c r="H26" s="14">
        <f>SUMIFS(RATING_DATA!$E:$E,RATING_DATA!$A:$A,'2| Non-Default'!$C$3,RATING_DATA!$B:$B,'2| Non-Default'!$A26,RATING_DATA!$C:$C,'2| Non-Default'!$B26,RATING_DATA!$D:$D,'2| Non-Default'!H$11)</f>
        <v>0</v>
      </c>
      <c r="I26" s="14">
        <f>SUMIFS(RATING_DATA!$E:$E,RATING_DATA!$A:$A,'2| Non-Default'!$C$3,RATING_DATA!$B:$B,'2| Non-Default'!$A26,RATING_DATA!$C:$C,'2| Non-Default'!$B26,RATING_DATA!$D:$D,'2| Non-Default'!I$11)</f>
        <v>0</v>
      </c>
      <c r="J26" s="14">
        <f>SUMIFS(RATING_DATA!$E:$E,RATING_DATA!$A:$A,'2| Non-Default'!$C$3,RATING_DATA!$B:$B,'2| Non-Default'!$A26,RATING_DATA!$C:$C,'2| Non-Default'!$B26,RATING_DATA!$D:$D,'2| Non-Default'!J$11)</f>
        <v>0</v>
      </c>
      <c r="K26" s="50">
        <f>SUM(C26:J26)</f>
        <v>0</v>
      </c>
      <c r="L26" s="50"/>
      <c r="M26" s="7" t="s">
        <v>3</v>
      </c>
      <c r="N26" s="13" t="str">
        <f t="shared" ref="N26:U26" si="13">IFERROR(C26/$K26,"")</f>
        <v/>
      </c>
      <c r="O26" s="13" t="str">
        <f t="shared" si="13"/>
        <v/>
      </c>
      <c r="P26" s="13" t="str">
        <f t="shared" si="13"/>
        <v/>
      </c>
      <c r="Q26" s="13" t="str">
        <f t="shared" si="13"/>
        <v/>
      </c>
      <c r="R26" s="13" t="str">
        <f t="shared" si="13"/>
        <v/>
      </c>
      <c r="S26" s="13" t="str">
        <f t="shared" si="13"/>
        <v/>
      </c>
      <c r="T26" s="13" t="str">
        <f t="shared" si="13"/>
        <v/>
      </c>
      <c r="U26" s="13" t="str">
        <f t="shared" si="13"/>
        <v/>
      </c>
      <c r="W26" s="7" t="s">
        <v>3</v>
      </c>
      <c r="X26" s="15">
        <f>IFERROR(SUM(N26:$U26),"")</f>
        <v>0</v>
      </c>
      <c r="Y26" s="15">
        <f>IFERROR(SUM(O26:$U26),"")</f>
        <v>0</v>
      </c>
      <c r="Z26" s="15">
        <f>IFERROR(SUM(P26:$U26),"")</f>
        <v>0</v>
      </c>
      <c r="AA26" s="15">
        <f>IFERROR(SUM(Q26:$U26),"")</f>
        <v>0</v>
      </c>
      <c r="AB26" s="15">
        <f>IFERROR(SUM(R26:$U26),"")</f>
        <v>0</v>
      </c>
      <c r="AC26" s="15">
        <f>IFERROR(SUM(S26:$U26),"")</f>
        <v>0</v>
      </c>
      <c r="AD26" s="15">
        <f>IFERROR(SUM(T26:$U26),"")</f>
        <v>0</v>
      </c>
      <c r="AE26" s="15">
        <f>IFERROR(SUM(U26:$U26),"")</f>
        <v>0</v>
      </c>
      <c r="AG26" s="7" t="s">
        <v>3</v>
      </c>
      <c r="AH26" s="15">
        <f t="shared" ref="AH26:AO33" si="14">IF(X26=1,1,IF(X26=0,0,NORMSDIST(NORMSINV(X26)*(SQRT(1-$F$3))-SQRT($F$3)*$AP26)))</f>
        <v>0</v>
      </c>
      <c r="AI26" s="15">
        <f t="shared" si="14"/>
        <v>0</v>
      </c>
      <c r="AJ26" s="15">
        <f t="shared" si="14"/>
        <v>0</v>
      </c>
      <c r="AK26" s="15">
        <f t="shared" si="14"/>
        <v>0</v>
      </c>
      <c r="AL26" s="15">
        <f t="shared" si="14"/>
        <v>0</v>
      </c>
      <c r="AM26" s="15">
        <f t="shared" si="14"/>
        <v>0</v>
      </c>
      <c r="AN26" s="15">
        <f t="shared" si="14"/>
        <v>0</v>
      </c>
      <c r="AO26" s="15">
        <f t="shared" si="14"/>
        <v>0</v>
      </c>
      <c r="AP26" s="51">
        <f>AJ22</f>
        <v>0.33676397593427682</v>
      </c>
      <c r="AR26" s="7" t="s">
        <v>3</v>
      </c>
      <c r="AS26" s="15">
        <f t="shared" ref="AS26:AZ33" si="15">IF(AS$10&lt;&gt;MAX($AS$10:$AZ$10),IFERROR(AH26-AI26,""),AH26)</f>
        <v>0</v>
      </c>
      <c r="AT26" s="15">
        <f t="shared" si="15"/>
        <v>0</v>
      </c>
      <c r="AU26" s="15">
        <f t="shared" si="15"/>
        <v>0</v>
      </c>
      <c r="AV26" s="15">
        <f t="shared" si="15"/>
        <v>0</v>
      </c>
      <c r="AW26" s="15">
        <f t="shared" si="15"/>
        <v>0</v>
      </c>
      <c r="AX26" s="15">
        <f t="shared" si="15"/>
        <v>0</v>
      </c>
      <c r="AY26" s="15">
        <f t="shared" si="15"/>
        <v>0</v>
      </c>
      <c r="AZ26" s="15">
        <f t="shared" si="15"/>
        <v>0</v>
      </c>
      <c r="BA26" s="53">
        <f>SUM(AS26:AZ26)</f>
        <v>0</v>
      </c>
    </row>
    <row r="27" spans="1:73" x14ac:dyDescent="0.25">
      <c r="A27" s="10">
        <f>A26</f>
        <v>2019</v>
      </c>
      <c r="B27" s="7" t="s">
        <v>5</v>
      </c>
      <c r="C27" s="14">
        <f>SUMIFS(RATING_DATA!$E:$E,RATING_DATA!$A:$A,'2| Non-Default'!$C$3,RATING_DATA!$B:$B,'2| Non-Default'!$A27,RATING_DATA!$C:$C,'2| Non-Default'!$B27,RATING_DATA!$D:$D,'2| Non-Default'!C$11)</f>
        <v>0</v>
      </c>
      <c r="D27" s="14">
        <f>SUMIFS(RATING_DATA!$E:$E,RATING_DATA!$A:$A,'2| Non-Default'!$C$3,RATING_DATA!$B:$B,'2| Non-Default'!$A27,RATING_DATA!$C:$C,'2| Non-Default'!$B27,RATING_DATA!$D:$D,'2| Non-Default'!D$11)</f>
        <v>0</v>
      </c>
      <c r="E27" s="14">
        <f>SUMIFS(RATING_DATA!$E:$E,RATING_DATA!$A:$A,'2| Non-Default'!$C$3,RATING_DATA!$B:$B,'2| Non-Default'!$A27,RATING_DATA!$C:$C,'2| Non-Default'!$B27,RATING_DATA!$D:$D,'2| Non-Default'!E$11)</f>
        <v>0</v>
      </c>
      <c r="F27" s="14">
        <f>SUMIFS(RATING_DATA!$E:$E,RATING_DATA!$A:$A,'2| Non-Default'!$C$3,RATING_DATA!$B:$B,'2| Non-Default'!$A27,RATING_DATA!$C:$C,'2| Non-Default'!$B27,RATING_DATA!$D:$D,'2| Non-Default'!F$11)</f>
        <v>0</v>
      </c>
      <c r="G27" s="14">
        <f>SUMIFS(RATING_DATA!$E:$E,RATING_DATA!$A:$A,'2| Non-Default'!$C$3,RATING_DATA!$B:$B,'2| Non-Default'!$A27,RATING_DATA!$C:$C,'2| Non-Default'!$B27,RATING_DATA!$D:$D,'2| Non-Default'!G$11)</f>
        <v>0</v>
      </c>
      <c r="H27" s="14">
        <f>SUMIFS(RATING_DATA!$E:$E,RATING_DATA!$A:$A,'2| Non-Default'!$C$3,RATING_DATA!$B:$B,'2| Non-Default'!$A27,RATING_DATA!$C:$C,'2| Non-Default'!$B27,RATING_DATA!$D:$D,'2| Non-Default'!H$11)</f>
        <v>0</v>
      </c>
      <c r="I27" s="14">
        <f>SUMIFS(RATING_DATA!$E:$E,RATING_DATA!$A:$A,'2| Non-Default'!$C$3,RATING_DATA!$B:$B,'2| Non-Default'!$A27,RATING_DATA!$C:$C,'2| Non-Default'!$B27,RATING_DATA!$D:$D,'2| Non-Default'!I$11)</f>
        <v>0</v>
      </c>
      <c r="J27" s="14">
        <f>SUMIFS(RATING_DATA!$E:$E,RATING_DATA!$A:$A,'2| Non-Default'!$C$3,RATING_DATA!$B:$B,'2| Non-Default'!$A27,RATING_DATA!$C:$C,'2| Non-Default'!$B27,RATING_DATA!$D:$D,'2| Non-Default'!J$11)</f>
        <v>0</v>
      </c>
      <c r="K27" s="50">
        <f t="shared" ref="K27:K33" si="16">SUM(C27:J27)</f>
        <v>0</v>
      </c>
      <c r="L27" s="50"/>
      <c r="M27" s="7" t="s">
        <v>5</v>
      </c>
      <c r="N27" s="13" t="str">
        <f t="shared" ref="N27:U33" si="17">IFERROR(C27/SUM($C27:$J27),"")</f>
        <v/>
      </c>
      <c r="O27" s="13" t="str">
        <f t="shared" si="17"/>
        <v/>
      </c>
      <c r="P27" s="13" t="str">
        <f t="shared" si="17"/>
        <v/>
      </c>
      <c r="Q27" s="13" t="str">
        <f t="shared" si="17"/>
        <v/>
      </c>
      <c r="R27" s="13" t="str">
        <f t="shared" si="17"/>
        <v/>
      </c>
      <c r="S27" s="13" t="str">
        <f t="shared" si="17"/>
        <v/>
      </c>
      <c r="T27" s="13" t="str">
        <f t="shared" si="17"/>
        <v/>
      </c>
      <c r="U27" s="13" t="str">
        <f t="shared" si="17"/>
        <v/>
      </c>
      <c r="W27" s="7" t="s">
        <v>5</v>
      </c>
      <c r="X27" s="15">
        <f>IFERROR(SUM(N27:$U27),"")</f>
        <v>0</v>
      </c>
      <c r="Y27" s="15">
        <f>IFERROR(SUM(O27:$U27),"")</f>
        <v>0</v>
      </c>
      <c r="Z27" s="15">
        <f>IFERROR(SUM(P27:$U27),"")</f>
        <v>0</v>
      </c>
      <c r="AA27" s="15">
        <f>IFERROR(SUM(Q27:$U27),"")</f>
        <v>0</v>
      </c>
      <c r="AB27" s="15">
        <f>IFERROR(SUM(R27:$U27),"")</f>
        <v>0</v>
      </c>
      <c r="AC27" s="15">
        <f>IFERROR(SUM(S27:$U27),"")</f>
        <v>0</v>
      </c>
      <c r="AD27" s="15">
        <f>IFERROR(SUM(T27:$U27),"")</f>
        <v>0</v>
      </c>
      <c r="AE27" s="15">
        <f>IFERROR(SUM(U27:$U27),"")</f>
        <v>0</v>
      </c>
      <c r="AG27" s="7" t="s">
        <v>5</v>
      </c>
      <c r="AH27" s="15">
        <f t="shared" si="14"/>
        <v>0</v>
      </c>
      <c r="AI27" s="15">
        <f t="shared" si="14"/>
        <v>0</v>
      </c>
      <c r="AJ27" s="15">
        <f t="shared" si="14"/>
        <v>0</v>
      </c>
      <c r="AK27" s="15">
        <f t="shared" si="14"/>
        <v>0</v>
      </c>
      <c r="AL27" s="15">
        <f t="shared" si="14"/>
        <v>0</v>
      </c>
      <c r="AM27" s="15">
        <f t="shared" si="14"/>
        <v>0</v>
      </c>
      <c r="AN27" s="15">
        <f t="shared" si="14"/>
        <v>0</v>
      </c>
      <c r="AO27" s="15">
        <f t="shared" si="14"/>
        <v>0</v>
      </c>
      <c r="AP27" s="51">
        <f>AP26</f>
        <v>0.33676397593427682</v>
      </c>
      <c r="AR27" s="7" t="s">
        <v>5</v>
      </c>
      <c r="AS27" s="15">
        <f t="shared" si="15"/>
        <v>0</v>
      </c>
      <c r="AT27" s="15">
        <f t="shared" si="15"/>
        <v>0</v>
      </c>
      <c r="AU27" s="15">
        <f t="shared" si="15"/>
        <v>0</v>
      </c>
      <c r="AV27" s="15">
        <f t="shared" si="15"/>
        <v>0</v>
      </c>
      <c r="AW27" s="15">
        <f t="shared" si="15"/>
        <v>0</v>
      </c>
      <c r="AX27" s="15">
        <f t="shared" si="15"/>
        <v>0</v>
      </c>
      <c r="AY27" s="15">
        <f t="shared" si="15"/>
        <v>0</v>
      </c>
      <c r="AZ27" s="15">
        <f t="shared" si="15"/>
        <v>0</v>
      </c>
      <c r="BA27" s="53">
        <f t="shared" ref="BA27:BA33" si="18">SUM(AS27:AZ27)</f>
        <v>0</v>
      </c>
    </row>
    <row r="28" spans="1:73" x14ac:dyDescent="0.25">
      <c r="A28" s="10">
        <f t="shared" ref="A28:A33" si="19">A27</f>
        <v>2019</v>
      </c>
      <c r="B28" s="7" t="s">
        <v>6</v>
      </c>
      <c r="C28" s="14">
        <f>SUMIFS(RATING_DATA!$E:$E,RATING_DATA!$A:$A,'2| Non-Default'!$C$3,RATING_DATA!$B:$B,'2| Non-Default'!$A28,RATING_DATA!$C:$C,'2| Non-Default'!$B28,RATING_DATA!$D:$D,'2| Non-Default'!C$11)</f>
        <v>0</v>
      </c>
      <c r="D28" s="14">
        <f>SUMIFS(RATING_DATA!$E:$E,RATING_DATA!$A:$A,'2| Non-Default'!$C$3,RATING_DATA!$B:$B,'2| Non-Default'!$A28,RATING_DATA!$C:$C,'2| Non-Default'!$B28,RATING_DATA!$D:$D,'2| Non-Default'!D$11)</f>
        <v>1</v>
      </c>
      <c r="E28" s="14">
        <f>SUMIFS(RATING_DATA!$E:$E,RATING_DATA!$A:$A,'2| Non-Default'!$C$3,RATING_DATA!$B:$B,'2| Non-Default'!$A28,RATING_DATA!$C:$C,'2| Non-Default'!$B28,RATING_DATA!$D:$D,'2| Non-Default'!E$11)</f>
        <v>0</v>
      </c>
      <c r="F28" s="14">
        <f>SUMIFS(RATING_DATA!$E:$E,RATING_DATA!$A:$A,'2| Non-Default'!$C$3,RATING_DATA!$B:$B,'2| Non-Default'!$A28,RATING_DATA!$C:$C,'2| Non-Default'!$B28,RATING_DATA!$D:$D,'2| Non-Default'!F$11)</f>
        <v>1</v>
      </c>
      <c r="G28" s="14">
        <f>SUMIFS(RATING_DATA!$E:$E,RATING_DATA!$A:$A,'2| Non-Default'!$C$3,RATING_DATA!$B:$B,'2| Non-Default'!$A28,RATING_DATA!$C:$C,'2| Non-Default'!$B28,RATING_DATA!$D:$D,'2| Non-Default'!G$11)</f>
        <v>1</v>
      </c>
      <c r="H28" s="14">
        <f>SUMIFS(RATING_DATA!$E:$E,RATING_DATA!$A:$A,'2| Non-Default'!$C$3,RATING_DATA!$B:$B,'2| Non-Default'!$A28,RATING_DATA!$C:$C,'2| Non-Default'!$B28,RATING_DATA!$D:$D,'2| Non-Default'!H$11)</f>
        <v>1</v>
      </c>
      <c r="I28" s="14">
        <f>SUMIFS(RATING_DATA!$E:$E,RATING_DATA!$A:$A,'2| Non-Default'!$C$3,RATING_DATA!$B:$B,'2| Non-Default'!$A28,RATING_DATA!$C:$C,'2| Non-Default'!$B28,RATING_DATA!$D:$D,'2| Non-Default'!I$11)</f>
        <v>0</v>
      </c>
      <c r="J28" s="14">
        <f>SUMIFS(RATING_DATA!$E:$E,RATING_DATA!$A:$A,'2| Non-Default'!$C$3,RATING_DATA!$B:$B,'2| Non-Default'!$A28,RATING_DATA!$C:$C,'2| Non-Default'!$B28,RATING_DATA!$D:$D,'2| Non-Default'!J$11)</f>
        <v>0</v>
      </c>
      <c r="K28" s="50">
        <f t="shared" si="16"/>
        <v>4</v>
      </c>
      <c r="L28" s="50"/>
      <c r="M28" s="7" t="s">
        <v>6</v>
      </c>
      <c r="N28" s="13">
        <f t="shared" si="17"/>
        <v>0</v>
      </c>
      <c r="O28" s="13">
        <f t="shared" si="17"/>
        <v>0.25</v>
      </c>
      <c r="P28" s="13">
        <f t="shared" si="17"/>
        <v>0</v>
      </c>
      <c r="Q28" s="13">
        <f t="shared" si="17"/>
        <v>0.25</v>
      </c>
      <c r="R28" s="13">
        <f t="shared" si="17"/>
        <v>0.25</v>
      </c>
      <c r="S28" s="13">
        <f t="shared" si="17"/>
        <v>0.25</v>
      </c>
      <c r="T28" s="13">
        <f t="shared" si="17"/>
        <v>0</v>
      </c>
      <c r="U28" s="13">
        <f t="shared" si="17"/>
        <v>0</v>
      </c>
      <c r="W28" s="7" t="s">
        <v>6</v>
      </c>
      <c r="X28" s="15">
        <f>IFERROR(SUM(N28:$U28),"")</f>
        <v>1</v>
      </c>
      <c r="Y28" s="15">
        <f>IFERROR(SUM(O28:$U28),"")</f>
        <v>1</v>
      </c>
      <c r="Z28" s="15">
        <f>IFERROR(SUM(P28:$U28),"")</f>
        <v>0.75</v>
      </c>
      <c r="AA28" s="15">
        <f>IFERROR(SUM(Q28:$U28),"")</f>
        <v>0.75</v>
      </c>
      <c r="AB28" s="15">
        <f>IFERROR(SUM(R28:$U28),"")</f>
        <v>0.5</v>
      </c>
      <c r="AC28" s="15">
        <f>IFERROR(SUM(S28:$U28),"")</f>
        <v>0.25</v>
      </c>
      <c r="AD28" s="15">
        <f>IFERROR(SUM(T28:$U28),"")</f>
        <v>0</v>
      </c>
      <c r="AE28" s="15">
        <f>IFERROR(SUM(U28:$U28),"")</f>
        <v>0</v>
      </c>
      <c r="AG28" s="7" t="s">
        <v>6</v>
      </c>
      <c r="AH28" s="15">
        <f t="shared" si="14"/>
        <v>1</v>
      </c>
      <c r="AI28" s="15">
        <f t="shared" si="14"/>
        <v>1</v>
      </c>
      <c r="AJ28" s="15">
        <f t="shared" si="14"/>
        <v>0.7085468442127989</v>
      </c>
      <c r="AK28" s="15">
        <f t="shared" si="14"/>
        <v>0.7085468442127989</v>
      </c>
      <c r="AL28" s="15">
        <f t="shared" si="14"/>
        <v>0.4614226334450105</v>
      </c>
      <c r="AM28" s="15">
        <f t="shared" si="14"/>
        <v>0.2287877351717921</v>
      </c>
      <c r="AN28" s="15">
        <f t="shared" si="14"/>
        <v>0</v>
      </c>
      <c r="AO28" s="15">
        <f t="shared" si="14"/>
        <v>0</v>
      </c>
      <c r="AP28" s="51">
        <f t="shared" ref="AP28:AP33" si="20">AP27</f>
        <v>0.33676397593427682</v>
      </c>
      <c r="AR28" s="7" t="s">
        <v>6</v>
      </c>
      <c r="AS28" s="15">
        <f t="shared" si="15"/>
        <v>0</v>
      </c>
      <c r="AT28" s="15">
        <f t="shared" si="15"/>
        <v>0.2914531557872011</v>
      </c>
      <c r="AU28" s="15">
        <f t="shared" si="15"/>
        <v>0</v>
      </c>
      <c r="AV28" s="15">
        <f t="shared" si="15"/>
        <v>0.2471242107677884</v>
      </c>
      <c r="AW28" s="15">
        <f t="shared" si="15"/>
        <v>0.2326348982732184</v>
      </c>
      <c r="AX28" s="15">
        <f t="shared" si="15"/>
        <v>0.2287877351717921</v>
      </c>
      <c r="AY28" s="15">
        <f t="shared" si="15"/>
        <v>0</v>
      </c>
      <c r="AZ28" s="15">
        <f t="shared" si="15"/>
        <v>0</v>
      </c>
      <c r="BA28" s="53">
        <f t="shared" si="18"/>
        <v>1</v>
      </c>
    </row>
    <row r="29" spans="1:73" x14ac:dyDescent="0.25">
      <c r="A29" s="10">
        <f t="shared" si="19"/>
        <v>2019</v>
      </c>
      <c r="B29" s="7" t="s">
        <v>7</v>
      </c>
      <c r="C29" s="14">
        <f>SUMIFS(RATING_DATA!$E:$E,RATING_DATA!$A:$A,'2| Non-Default'!$C$3,RATING_DATA!$B:$B,'2| Non-Default'!$A29,RATING_DATA!$C:$C,'2| Non-Default'!$B29,RATING_DATA!$D:$D,'2| Non-Default'!C$11)</f>
        <v>0</v>
      </c>
      <c r="D29" s="14">
        <f>SUMIFS(RATING_DATA!$E:$E,RATING_DATA!$A:$A,'2| Non-Default'!$C$3,RATING_DATA!$B:$B,'2| Non-Default'!$A29,RATING_DATA!$C:$C,'2| Non-Default'!$B29,RATING_DATA!$D:$D,'2| Non-Default'!D$11)</f>
        <v>0</v>
      </c>
      <c r="E29" s="14">
        <f>SUMIFS(RATING_DATA!$E:$E,RATING_DATA!$A:$A,'2| Non-Default'!$C$3,RATING_DATA!$B:$B,'2| Non-Default'!$A29,RATING_DATA!$C:$C,'2| Non-Default'!$B29,RATING_DATA!$D:$D,'2| Non-Default'!E$11)</f>
        <v>0</v>
      </c>
      <c r="F29" s="14">
        <f>SUMIFS(RATING_DATA!$E:$E,RATING_DATA!$A:$A,'2| Non-Default'!$C$3,RATING_DATA!$B:$B,'2| Non-Default'!$A29,RATING_DATA!$C:$C,'2| Non-Default'!$B29,RATING_DATA!$D:$D,'2| Non-Default'!F$11)</f>
        <v>0</v>
      </c>
      <c r="G29" s="14">
        <f>SUMIFS(RATING_DATA!$E:$E,RATING_DATA!$A:$A,'2| Non-Default'!$C$3,RATING_DATA!$B:$B,'2| Non-Default'!$A29,RATING_DATA!$C:$C,'2| Non-Default'!$B29,RATING_DATA!$D:$D,'2| Non-Default'!G$11)</f>
        <v>0</v>
      </c>
      <c r="H29" s="14">
        <f>SUMIFS(RATING_DATA!$E:$E,RATING_DATA!$A:$A,'2| Non-Default'!$C$3,RATING_DATA!$B:$B,'2| Non-Default'!$A29,RATING_DATA!$C:$C,'2| Non-Default'!$B29,RATING_DATA!$D:$D,'2| Non-Default'!H$11)</f>
        <v>1</v>
      </c>
      <c r="I29" s="14">
        <f>SUMIFS(RATING_DATA!$E:$E,RATING_DATA!$A:$A,'2| Non-Default'!$C$3,RATING_DATA!$B:$B,'2| Non-Default'!$A29,RATING_DATA!$C:$C,'2| Non-Default'!$B29,RATING_DATA!$D:$D,'2| Non-Default'!I$11)</f>
        <v>1</v>
      </c>
      <c r="J29" s="14">
        <f>SUMIFS(RATING_DATA!$E:$E,RATING_DATA!$A:$A,'2| Non-Default'!$C$3,RATING_DATA!$B:$B,'2| Non-Default'!$A29,RATING_DATA!$C:$C,'2| Non-Default'!$B29,RATING_DATA!$D:$D,'2| Non-Default'!J$11)</f>
        <v>0</v>
      </c>
      <c r="K29" s="50">
        <f t="shared" si="16"/>
        <v>2</v>
      </c>
      <c r="L29" s="50"/>
      <c r="M29" s="7" t="s">
        <v>7</v>
      </c>
      <c r="N29" s="13">
        <f t="shared" si="17"/>
        <v>0</v>
      </c>
      <c r="O29" s="13">
        <f t="shared" si="17"/>
        <v>0</v>
      </c>
      <c r="P29" s="13">
        <f t="shared" si="17"/>
        <v>0</v>
      </c>
      <c r="Q29" s="13">
        <f t="shared" si="17"/>
        <v>0</v>
      </c>
      <c r="R29" s="13">
        <f t="shared" si="17"/>
        <v>0</v>
      </c>
      <c r="S29" s="13">
        <f t="shared" si="17"/>
        <v>0.5</v>
      </c>
      <c r="T29" s="13">
        <f t="shared" si="17"/>
        <v>0.5</v>
      </c>
      <c r="U29" s="13">
        <f t="shared" si="17"/>
        <v>0</v>
      </c>
      <c r="W29" s="7" t="s">
        <v>7</v>
      </c>
      <c r="X29" s="15">
        <f>IFERROR(SUM(N29:$U29),"")</f>
        <v>1</v>
      </c>
      <c r="Y29" s="15">
        <f>IFERROR(SUM(O29:$U29),"")</f>
        <v>1</v>
      </c>
      <c r="Z29" s="15">
        <f>IFERROR(SUM(P29:$U29),"")</f>
        <v>1</v>
      </c>
      <c r="AA29" s="15">
        <f>IFERROR(SUM(Q29:$U29),"")</f>
        <v>1</v>
      </c>
      <c r="AB29" s="15">
        <f>IFERROR(SUM(R29:$U29),"")</f>
        <v>1</v>
      </c>
      <c r="AC29" s="15">
        <f>IFERROR(SUM(S29:$U29),"")</f>
        <v>1</v>
      </c>
      <c r="AD29" s="15">
        <f>IFERROR(SUM(T29:$U29),"")</f>
        <v>0.5</v>
      </c>
      <c r="AE29" s="15">
        <f>IFERROR(SUM(U29:$U29),"")</f>
        <v>0</v>
      </c>
      <c r="AG29" s="7" t="s">
        <v>7</v>
      </c>
      <c r="AH29" s="15">
        <f t="shared" si="14"/>
        <v>1</v>
      </c>
      <c r="AI29" s="15">
        <f t="shared" si="14"/>
        <v>1</v>
      </c>
      <c r="AJ29" s="15">
        <f t="shared" si="14"/>
        <v>1</v>
      </c>
      <c r="AK29" s="15">
        <f t="shared" si="14"/>
        <v>1</v>
      </c>
      <c r="AL29" s="15">
        <f t="shared" si="14"/>
        <v>1</v>
      </c>
      <c r="AM29" s="15">
        <f t="shared" si="14"/>
        <v>1</v>
      </c>
      <c r="AN29" s="15">
        <f t="shared" si="14"/>
        <v>0.4614226334450105</v>
      </c>
      <c r="AO29" s="15">
        <f t="shared" si="14"/>
        <v>0</v>
      </c>
      <c r="AP29" s="51">
        <f t="shared" si="20"/>
        <v>0.33676397593427682</v>
      </c>
      <c r="AR29" s="7" t="s">
        <v>7</v>
      </c>
      <c r="AS29" s="15">
        <f t="shared" si="15"/>
        <v>0</v>
      </c>
      <c r="AT29" s="15">
        <f t="shared" si="15"/>
        <v>0</v>
      </c>
      <c r="AU29" s="15">
        <f t="shared" si="15"/>
        <v>0</v>
      </c>
      <c r="AV29" s="15">
        <f t="shared" si="15"/>
        <v>0</v>
      </c>
      <c r="AW29" s="15">
        <f t="shared" si="15"/>
        <v>0</v>
      </c>
      <c r="AX29" s="15">
        <f t="shared" si="15"/>
        <v>0.53857736655498956</v>
      </c>
      <c r="AY29" s="15">
        <f t="shared" si="15"/>
        <v>0.4614226334450105</v>
      </c>
      <c r="AZ29" s="15">
        <f t="shared" si="15"/>
        <v>0</v>
      </c>
      <c r="BA29" s="53">
        <f t="shared" si="18"/>
        <v>1</v>
      </c>
    </row>
    <row r="30" spans="1:73" x14ac:dyDescent="0.25">
      <c r="A30" s="10">
        <f t="shared" si="19"/>
        <v>2019</v>
      </c>
      <c r="B30" s="7" t="s">
        <v>8</v>
      </c>
      <c r="C30" s="14">
        <f>SUMIFS(RATING_DATA!$E:$E,RATING_DATA!$A:$A,'2| Non-Default'!$C$3,RATING_DATA!$B:$B,'2| Non-Default'!$A30,RATING_DATA!$C:$C,'2| Non-Default'!$B30,RATING_DATA!$D:$D,'2| Non-Default'!C$11)</f>
        <v>0</v>
      </c>
      <c r="D30" s="14">
        <f>SUMIFS(RATING_DATA!$E:$E,RATING_DATA!$A:$A,'2| Non-Default'!$C$3,RATING_DATA!$B:$B,'2| Non-Default'!$A30,RATING_DATA!$C:$C,'2| Non-Default'!$B30,RATING_DATA!$D:$D,'2| Non-Default'!D$11)</f>
        <v>2</v>
      </c>
      <c r="E30" s="14">
        <f>SUMIFS(RATING_DATA!$E:$E,RATING_DATA!$A:$A,'2| Non-Default'!$C$3,RATING_DATA!$B:$B,'2| Non-Default'!$A30,RATING_DATA!$C:$C,'2| Non-Default'!$B30,RATING_DATA!$D:$D,'2| Non-Default'!E$11)</f>
        <v>0</v>
      </c>
      <c r="F30" s="14">
        <f>SUMIFS(RATING_DATA!$E:$E,RATING_DATA!$A:$A,'2| Non-Default'!$C$3,RATING_DATA!$B:$B,'2| Non-Default'!$A30,RATING_DATA!$C:$C,'2| Non-Default'!$B30,RATING_DATA!$D:$D,'2| Non-Default'!F$11)</f>
        <v>0</v>
      </c>
      <c r="G30" s="14">
        <f>SUMIFS(RATING_DATA!$E:$E,RATING_DATA!$A:$A,'2| Non-Default'!$C$3,RATING_DATA!$B:$B,'2| Non-Default'!$A30,RATING_DATA!$C:$C,'2| Non-Default'!$B30,RATING_DATA!$D:$D,'2| Non-Default'!G$11)</f>
        <v>2</v>
      </c>
      <c r="H30" s="14">
        <f>SUMIFS(RATING_DATA!$E:$E,RATING_DATA!$A:$A,'2| Non-Default'!$C$3,RATING_DATA!$B:$B,'2| Non-Default'!$A30,RATING_DATA!$C:$C,'2| Non-Default'!$B30,RATING_DATA!$D:$D,'2| Non-Default'!H$11)</f>
        <v>5</v>
      </c>
      <c r="I30" s="14">
        <f>SUMIFS(RATING_DATA!$E:$E,RATING_DATA!$A:$A,'2| Non-Default'!$C$3,RATING_DATA!$B:$B,'2| Non-Default'!$A30,RATING_DATA!$C:$C,'2| Non-Default'!$B30,RATING_DATA!$D:$D,'2| Non-Default'!I$11)</f>
        <v>3</v>
      </c>
      <c r="J30" s="14">
        <f>SUMIFS(RATING_DATA!$E:$E,RATING_DATA!$A:$A,'2| Non-Default'!$C$3,RATING_DATA!$B:$B,'2| Non-Default'!$A30,RATING_DATA!$C:$C,'2| Non-Default'!$B30,RATING_DATA!$D:$D,'2| Non-Default'!J$11)</f>
        <v>0</v>
      </c>
      <c r="K30" s="50">
        <f t="shared" si="16"/>
        <v>12</v>
      </c>
      <c r="L30" s="50"/>
      <c r="M30" s="7" t="s">
        <v>8</v>
      </c>
      <c r="N30" s="13">
        <f t="shared" si="17"/>
        <v>0</v>
      </c>
      <c r="O30" s="13">
        <f t="shared" si="17"/>
        <v>0.16666666666666666</v>
      </c>
      <c r="P30" s="13">
        <f t="shared" si="17"/>
        <v>0</v>
      </c>
      <c r="Q30" s="13">
        <f t="shared" si="17"/>
        <v>0</v>
      </c>
      <c r="R30" s="13">
        <f t="shared" si="17"/>
        <v>0.16666666666666666</v>
      </c>
      <c r="S30" s="13">
        <f t="shared" si="17"/>
        <v>0.41666666666666669</v>
      </c>
      <c r="T30" s="13">
        <f t="shared" si="17"/>
        <v>0.25</v>
      </c>
      <c r="U30" s="13">
        <f t="shared" si="17"/>
        <v>0</v>
      </c>
      <c r="W30" s="7" t="s">
        <v>8</v>
      </c>
      <c r="X30" s="15">
        <f>IFERROR(SUM(N30:$U30),"")</f>
        <v>1</v>
      </c>
      <c r="Y30" s="15">
        <f>IFERROR(SUM(O30:$U30),"")</f>
        <v>1</v>
      </c>
      <c r="Z30" s="15">
        <f>IFERROR(SUM(P30:$U30),"")</f>
        <v>0.83333333333333337</v>
      </c>
      <c r="AA30" s="15">
        <f>IFERROR(SUM(Q30:$U30),"")</f>
        <v>0.83333333333333337</v>
      </c>
      <c r="AB30" s="15">
        <f>IFERROR(SUM(R30:$U30),"")</f>
        <v>0.83333333333333337</v>
      </c>
      <c r="AC30" s="15">
        <f>IFERROR(SUM(S30:$U30),"")</f>
        <v>0.66666666666666674</v>
      </c>
      <c r="AD30" s="15">
        <f>IFERROR(SUM(T30:$U30),"")</f>
        <v>0.25</v>
      </c>
      <c r="AE30" s="15">
        <f>IFERROR(SUM(U30:$U30),"")</f>
        <v>0</v>
      </c>
      <c r="AG30" s="7" t="s">
        <v>8</v>
      </c>
      <c r="AH30" s="15">
        <f t="shared" si="14"/>
        <v>1</v>
      </c>
      <c r="AI30" s="15">
        <f t="shared" si="14"/>
        <v>1</v>
      </c>
      <c r="AJ30" s="15">
        <f t="shared" si="14"/>
        <v>0.79664603758201591</v>
      </c>
      <c r="AK30" s="15">
        <f t="shared" si="14"/>
        <v>0.79664603758201591</v>
      </c>
      <c r="AL30" s="15">
        <f t="shared" si="14"/>
        <v>0.79664603758201591</v>
      </c>
      <c r="AM30" s="15">
        <f t="shared" si="14"/>
        <v>0.62387736242641123</v>
      </c>
      <c r="AN30" s="15">
        <f t="shared" si="14"/>
        <v>0.2287877351717921</v>
      </c>
      <c r="AO30" s="15">
        <f t="shared" si="14"/>
        <v>0</v>
      </c>
      <c r="AP30" s="51">
        <f t="shared" si="20"/>
        <v>0.33676397593427682</v>
      </c>
      <c r="AR30" s="7" t="s">
        <v>8</v>
      </c>
      <c r="AS30" s="15">
        <f t="shared" si="15"/>
        <v>0</v>
      </c>
      <c r="AT30" s="15">
        <f t="shared" si="15"/>
        <v>0.20335396241798409</v>
      </c>
      <c r="AU30" s="15">
        <f t="shared" si="15"/>
        <v>0</v>
      </c>
      <c r="AV30" s="15">
        <f t="shared" si="15"/>
        <v>0</v>
      </c>
      <c r="AW30" s="15">
        <f t="shared" si="15"/>
        <v>0.17276867515560468</v>
      </c>
      <c r="AX30" s="15">
        <f t="shared" si="15"/>
        <v>0.39508962725461916</v>
      </c>
      <c r="AY30" s="15">
        <f t="shared" si="15"/>
        <v>0.2287877351717921</v>
      </c>
      <c r="AZ30" s="15">
        <f t="shared" si="15"/>
        <v>0</v>
      </c>
      <c r="BA30" s="53">
        <f t="shared" si="18"/>
        <v>1</v>
      </c>
    </row>
    <row r="31" spans="1:73" x14ac:dyDescent="0.25">
      <c r="A31" s="10">
        <f t="shared" si="19"/>
        <v>2019</v>
      </c>
      <c r="B31" s="7" t="s">
        <v>9</v>
      </c>
      <c r="C31" s="14">
        <f>SUMIFS(RATING_DATA!$E:$E,RATING_DATA!$A:$A,'2| Non-Default'!$C$3,RATING_DATA!$B:$B,'2| Non-Default'!$A31,RATING_DATA!$C:$C,'2| Non-Default'!$B31,RATING_DATA!$D:$D,'2| Non-Default'!C$11)</f>
        <v>0</v>
      </c>
      <c r="D31" s="14">
        <f>SUMIFS(RATING_DATA!$E:$E,RATING_DATA!$A:$A,'2| Non-Default'!$C$3,RATING_DATA!$B:$B,'2| Non-Default'!$A31,RATING_DATA!$C:$C,'2| Non-Default'!$B31,RATING_DATA!$D:$D,'2| Non-Default'!D$11)</f>
        <v>0</v>
      </c>
      <c r="E31" s="14">
        <f>SUMIFS(RATING_DATA!$E:$E,RATING_DATA!$A:$A,'2| Non-Default'!$C$3,RATING_DATA!$B:$B,'2| Non-Default'!$A31,RATING_DATA!$C:$C,'2| Non-Default'!$B31,RATING_DATA!$D:$D,'2| Non-Default'!E$11)</f>
        <v>0</v>
      </c>
      <c r="F31" s="14">
        <f>SUMIFS(RATING_DATA!$E:$E,RATING_DATA!$A:$A,'2| Non-Default'!$C$3,RATING_DATA!$B:$B,'2| Non-Default'!$A31,RATING_DATA!$C:$C,'2| Non-Default'!$B31,RATING_DATA!$D:$D,'2| Non-Default'!F$11)</f>
        <v>0</v>
      </c>
      <c r="G31" s="14">
        <f>SUMIFS(RATING_DATA!$E:$E,RATING_DATA!$A:$A,'2| Non-Default'!$C$3,RATING_DATA!$B:$B,'2| Non-Default'!$A31,RATING_DATA!$C:$C,'2| Non-Default'!$B31,RATING_DATA!$D:$D,'2| Non-Default'!G$11)</f>
        <v>0</v>
      </c>
      <c r="H31" s="14">
        <f>SUMIFS(RATING_DATA!$E:$E,RATING_DATA!$A:$A,'2| Non-Default'!$C$3,RATING_DATA!$B:$B,'2| Non-Default'!$A31,RATING_DATA!$C:$C,'2| Non-Default'!$B31,RATING_DATA!$D:$D,'2| Non-Default'!H$11)</f>
        <v>7</v>
      </c>
      <c r="I31" s="14">
        <f>SUMIFS(RATING_DATA!$E:$E,RATING_DATA!$A:$A,'2| Non-Default'!$C$3,RATING_DATA!$B:$B,'2| Non-Default'!$A31,RATING_DATA!$C:$C,'2| Non-Default'!$B31,RATING_DATA!$D:$D,'2| Non-Default'!I$11)</f>
        <v>2</v>
      </c>
      <c r="J31" s="14">
        <f>SUMIFS(RATING_DATA!$E:$E,RATING_DATA!$A:$A,'2| Non-Default'!$C$3,RATING_DATA!$B:$B,'2| Non-Default'!$A31,RATING_DATA!$C:$C,'2| Non-Default'!$B31,RATING_DATA!$D:$D,'2| Non-Default'!J$11)</f>
        <v>2</v>
      </c>
      <c r="K31" s="50">
        <f t="shared" si="16"/>
        <v>11</v>
      </c>
      <c r="L31" s="50"/>
      <c r="M31" s="7" t="s">
        <v>9</v>
      </c>
      <c r="N31" s="13">
        <f t="shared" si="17"/>
        <v>0</v>
      </c>
      <c r="O31" s="13">
        <f t="shared" si="17"/>
        <v>0</v>
      </c>
      <c r="P31" s="13">
        <f t="shared" si="17"/>
        <v>0</v>
      </c>
      <c r="Q31" s="13">
        <f t="shared" si="17"/>
        <v>0</v>
      </c>
      <c r="R31" s="13">
        <f t="shared" si="17"/>
        <v>0</v>
      </c>
      <c r="S31" s="13">
        <f t="shared" si="17"/>
        <v>0.63636363636363635</v>
      </c>
      <c r="T31" s="13">
        <f t="shared" si="17"/>
        <v>0.18181818181818182</v>
      </c>
      <c r="U31" s="13">
        <f t="shared" si="17"/>
        <v>0.18181818181818182</v>
      </c>
      <c r="W31" s="7" t="s">
        <v>9</v>
      </c>
      <c r="X31" s="15">
        <f>IFERROR(SUM(N31:$U31),"")</f>
        <v>1</v>
      </c>
      <c r="Y31" s="15">
        <f>IFERROR(SUM(O31:$U31),"")</f>
        <v>1</v>
      </c>
      <c r="Z31" s="15">
        <f>IFERROR(SUM(P31:$U31),"")</f>
        <v>1</v>
      </c>
      <c r="AA31" s="15">
        <f>IFERROR(SUM(Q31:$U31),"")</f>
        <v>1</v>
      </c>
      <c r="AB31" s="15">
        <f>IFERROR(SUM(R31:$U31),"")</f>
        <v>1</v>
      </c>
      <c r="AC31" s="15">
        <f>IFERROR(SUM(S31:$U31),"")</f>
        <v>1</v>
      </c>
      <c r="AD31" s="15">
        <f>IFERROR(SUM(T31:$U31),"")</f>
        <v>0.36363636363636365</v>
      </c>
      <c r="AE31" s="15">
        <f>IFERROR(SUM(U31:$U31),"")</f>
        <v>0.18181818181818182</v>
      </c>
      <c r="AG31" s="7" t="s">
        <v>9</v>
      </c>
      <c r="AH31" s="15">
        <f t="shared" si="14"/>
        <v>1</v>
      </c>
      <c r="AI31" s="15">
        <f t="shared" si="14"/>
        <v>1</v>
      </c>
      <c r="AJ31" s="15">
        <f t="shared" si="14"/>
        <v>1</v>
      </c>
      <c r="AK31" s="15">
        <f t="shared" si="14"/>
        <v>1</v>
      </c>
      <c r="AL31" s="15">
        <f t="shared" si="14"/>
        <v>1</v>
      </c>
      <c r="AM31" s="15">
        <f t="shared" si="14"/>
        <v>1</v>
      </c>
      <c r="AN31" s="15">
        <f t="shared" si="14"/>
        <v>0.33328063805559438</v>
      </c>
      <c r="AO31" s="15">
        <f t="shared" si="14"/>
        <v>0.16678980643376187</v>
      </c>
      <c r="AP31" s="51">
        <f t="shared" si="20"/>
        <v>0.33676397593427682</v>
      </c>
      <c r="AR31" s="7" t="s">
        <v>9</v>
      </c>
      <c r="AS31" s="15">
        <f t="shared" si="15"/>
        <v>0</v>
      </c>
      <c r="AT31" s="15">
        <f t="shared" si="15"/>
        <v>0</v>
      </c>
      <c r="AU31" s="15">
        <f t="shared" si="15"/>
        <v>0</v>
      </c>
      <c r="AV31" s="15">
        <f t="shared" si="15"/>
        <v>0</v>
      </c>
      <c r="AW31" s="15">
        <f t="shared" si="15"/>
        <v>0</v>
      </c>
      <c r="AX31" s="15">
        <f t="shared" si="15"/>
        <v>0.66671936194440562</v>
      </c>
      <c r="AY31" s="15">
        <f t="shared" si="15"/>
        <v>0.16649083162183251</v>
      </c>
      <c r="AZ31" s="15">
        <f t="shared" si="15"/>
        <v>0.16678980643376187</v>
      </c>
      <c r="BA31" s="53">
        <f t="shared" si="18"/>
        <v>1</v>
      </c>
    </row>
    <row r="32" spans="1:73" x14ac:dyDescent="0.25">
      <c r="A32" s="10">
        <f t="shared" si="19"/>
        <v>2019</v>
      </c>
      <c r="B32" s="7" t="s">
        <v>10</v>
      </c>
      <c r="C32" s="14">
        <f>SUMIFS(RATING_DATA!$E:$E,RATING_DATA!$A:$A,'2| Non-Default'!$C$3,RATING_DATA!$B:$B,'2| Non-Default'!$A32,RATING_DATA!$C:$C,'2| Non-Default'!$B32,RATING_DATA!$D:$D,'2| Non-Default'!C$11)</f>
        <v>0</v>
      </c>
      <c r="D32" s="14">
        <f>SUMIFS(RATING_DATA!$E:$E,RATING_DATA!$A:$A,'2| Non-Default'!$C$3,RATING_DATA!$B:$B,'2| Non-Default'!$A32,RATING_DATA!$C:$C,'2| Non-Default'!$B32,RATING_DATA!$D:$D,'2| Non-Default'!D$11)</f>
        <v>0</v>
      </c>
      <c r="E32" s="14">
        <f>SUMIFS(RATING_DATA!$E:$E,RATING_DATA!$A:$A,'2| Non-Default'!$C$3,RATING_DATA!$B:$B,'2| Non-Default'!$A32,RATING_DATA!$C:$C,'2| Non-Default'!$B32,RATING_DATA!$D:$D,'2| Non-Default'!E$11)</f>
        <v>0</v>
      </c>
      <c r="F32" s="14">
        <f>SUMIFS(RATING_DATA!$E:$E,RATING_DATA!$A:$A,'2| Non-Default'!$C$3,RATING_DATA!$B:$B,'2| Non-Default'!$A32,RATING_DATA!$C:$C,'2| Non-Default'!$B32,RATING_DATA!$D:$D,'2| Non-Default'!F$11)</f>
        <v>0</v>
      </c>
      <c r="G32" s="14">
        <f>SUMIFS(RATING_DATA!$E:$E,RATING_DATA!$A:$A,'2| Non-Default'!$C$3,RATING_DATA!$B:$B,'2| Non-Default'!$A32,RATING_DATA!$C:$C,'2| Non-Default'!$B32,RATING_DATA!$D:$D,'2| Non-Default'!G$11)</f>
        <v>0</v>
      </c>
      <c r="H32" s="14">
        <f>SUMIFS(RATING_DATA!$E:$E,RATING_DATA!$A:$A,'2| Non-Default'!$C$3,RATING_DATA!$B:$B,'2| Non-Default'!$A32,RATING_DATA!$C:$C,'2| Non-Default'!$B32,RATING_DATA!$D:$D,'2| Non-Default'!H$11)</f>
        <v>4</v>
      </c>
      <c r="I32" s="14">
        <f>SUMIFS(RATING_DATA!$E:$E,RATING_DATA!$A:$A,'2| Non-Default'!$C$3,RATING_DATA!$B:$B,'2| Non-Default'!$A32,RATING_DATA!$C:$C,'2| Non-Default'!$B32,RATING_DATA!$D:$D,'2| Non-Default'!I$11)</f>
        <v>1</v>
      </c>
      <c r="J32" s="14">
        <f>SUMIFS(RATING_DATA!$E:$E,RATING_DATA!$A:$A,'2| Non-Default'!$C$3,RATING_DATA!$B:$B,'2| Non-Default'!$A32,RATING_DATA!$C:$C,'2| Non-Default'!$B32,RATING_DATA!$D:$D,'2| Non-Default'!J$11)</f>
        <v>1</v>
      </c>
      <c r="K32" s="50">
        <f t="shared" si="16"/>
        <v>6</v>
      </c>
      <c r="L32" s="50"/>
      <c r="M32" s="7" t="s">
        <v>10</v>
      </c>
      <c r="N32" s="13">
        <f t="shared" si="17"/>
        <v>0</v>
      </c>
      <c r="O32" s="13">
        <f t="shared" si="17"/>
        <v>0</v>
      </c>
      <c r="P32" s="13">
        <f t="shared" si="17"/>
        <v>0</v>
      </c>
      <c r="Q32" s="13">
        <f t="shared" si="17"/>
        <v>0</v>
      </c>
      <c r="R32" s="13">
        <f t="shared" si="17"/>
        <v>0</v>
      </c>
      <c r="S32" s="13">
        <f t="shared" si="17"/>
        <v>0.66666666666666663</v>
      </c>
      <c r="T32" s="13">
        <f t="shared" si="17"/>
        <v>0.16666666666666666</v>
      </c>
      <c r="U32" s="13">
        <f t="shared" si="17"/>
        <v>0.16666666666666666</v>
      </c>
      <c r="W32" s="7" t="s">
        <v>10</v>
      </c>
      <c r="X32" s="15">
        <f>IFERROR(SUM(N32:$U32),"")</f>
        <v>0.99999999999999989</v>
      </c>
      <c r="Y32" s="15">
        <f>IFERROR(SUM(O32:$U32),"")</f>
        <v>0.99999999999999989</v>
      </c>
      <c r="Z32" s="15">
        <f>IFERROR(SUM(P32:$U32),"")</f>
        <v>0.99999999999999989</v>
      </c>
      <c r="AA32" s="15">
        <f>IFERROR(SUM(Q32:$U32),"")</f>
        <v>0.99999999999999989</v>
      </c>
      <c r="AB32" s="15">
        <f>IFERROR(SUM(R32:$U32),"")</f>
        <v>0.99999999999999989</v>
      </c>
      <c r="AC32" s="15">
        <f>IFERROR(SUM(S32:$U32),"")</f>
        <v>0.99999999999999989</v>
      </c>
      <c r="AD32" s="15">
        <f>IFERROR(SUM(T32:$U32),"")</f>
        <v>0.33333333333333331</v>
      </c>
      <c r="AE32" s="15">
        <f>IFERROR(SUM(U32:$U32),"")</f>
        <v>0.16666666666666666</v>
      </c>
      <c r="AG32" s="7" t="s">
        <v>10</v>
      </c>
      <c r="AH32" s="15">
        <f t="shared" si="14"/>
        <v>1</v>
      </c>
      <c r="AI32" s="15">
        <f t="shared" si="14"/>
        <v>1</v>
      </c>
      <c r="AJ32" s="15">
        <f t="shared" si="14"/>
        <v>1</v>
      </c>
      <c r="AK32" s="15">
        <f t="shared" si="14"/>
        <v>1</v>
      </c>
      <c r="AL32" s="15">
        <f t="shared" si="14"/>
        <v>1</v>
      </c>
      <c r="AM32" s="15">
        <f t="shared" si="14"/>
        <v>1</v>
      </c>
      <c r="AN32" s="15">
        <f t="shared" si="14"/>
        <v>0.30524266446559861</v>
      </c>
      <c r="AO32" s="15">
        <f t="shared" si="14"/>
        <v>0.15305902377224409</v>
      </c>
      <c r="AP32" s="51">
        <f t="shared" si="20"/>
        <v>0.33676397593427682</v>
      </c>
      <c r="AR32" s="7" t="s">
        <v>10</v>
      </c>
      <c r="AS32" s="15">
        <f t="shared" si="15"/>
        <v>0</v>
      </c>
      <c r="AT32" s="15">
        <f t="shared" si="15"/>
        <v>0</v>
      </c>
      <c r="AU32" s="15">
        <f t="shared" si="15"/>
        <v>0</v>
      </c>
      <c r="AV32" s="15">
        <f t="shared" si="15"/>
        <v>0</v>
      </c>
      <c r="AW32" s="15">
        <f t="shared" si="15"/>
        <v>0</v>
      </c>
      <c r="AX32" s="15">
        <f t="shared" si="15"/>
        <v>0.69475733553440144</v>
      </c>
      <c r="AY32" s="15">
        <f t="shared" si="15"/>
        <v>0.15218364069335452</v>
      </c>
      <c r="AZ32" s="15">
        <f t="shared" si="15"/>
        <v>0.15305902377224409</v>
      </c>
      <c r="BA32" s="53">
        <f t="shared" si="18"/>
        <v>1</v>
      </c>
    </row>
    <row r="33" spans="1:53" x14ac:dyDescent="0.25">
      <c r="A33" s="10">
        <f t="shared" si="19"/>
        <v>2019</v>
      </c>
      <c r="B33" s="7" t="s">
        <v>11</v>
      </c>
      <c r="C33" s="14">
        <f>SUMIFS(RATING_DATA!$E:$E,RATING_DATA!$A:$A,'2| Non-Default'!$C$3,RATING_DATA!$B:$B,'2| Non-Default'!$A33,RATING_DATA!$C:$C,'2| Non-Default'!$B33,RATING_DATA!$D:$D,'2| Non-Default'!C$11)</f>
        <v>0</v>
      </c>
      <c r="D33" s="14">
        <f>SUMIFS(RATING_DATA!$E:$E,RATING_DATA!$A:$A,'2| Non-Default'!$C$3,RATING_DATA!$B:$B,'2| Non-Default'!$A33,RATING_DATA!$C:$C,'2| Non-Default'!$B33,RATING_DATA!$D:$D,'2| Non-Default'!D$11)</f>
        <v>0</v>
      </c>
      <c r="E33" s="14">
        <f>SUMIFS(RATING_DATA!$E:$E,RATING_DATA!$A:$A,'2| Non-Default'!$C$3,RATING_DATA!$B:$B,'2| Non-Default'!$A33,RATING_DATA!$C:$C,'2| Non-Default'!$B33,RATING_DATA!$D:$D,'2| Non-Default'!E$11)</f>
        <v>0</v>
      </c>
      <c r="F33" s="14">
        <f>SUMIFS(RATING_DATA!$E:$E,RATING_DATA!$A:$A,'2| Non-Default'!$C$3,RATING_DATA!$B:$B,'2| Non-Default'!$A33,RATING_DATA!$C:$C,'2| Non-Default'!$B33,RATING_DATA!$D:$D,'2| Non-Default'!F$11)</f>
        <v>0</v>
      </c>
      <c r="G33" s="14">
        <f>SUMIFS(RATING_DATA!$E:$E,RATING_DATA!$A:$A,'2| Non-Default'!$C$3,RATING_DATA!$B:$B,'2| Non-Default'!$A33,RATING_DATA!$C:$C,'2| Non-Default'!$B33,RATING_DATA!$D:$D,'2| Non-Default'!G$11)</f>
        <v>0</v>
      </c>
      <c r="H33" s="14">
        <f>SUMIFS(RATING_DATA!$E:$E,RATING_DATA!$A:$A,'2| Non-Default'!$C$3,RATING_DATA!$B:$B,'2| Non-Default'!$A33,RATING_DATA!$C:$C,'2| Non-Default'!$B33,RATING_DATA!$D:$D,'2| Non-Default'!H$11)</f>
        <v>1</v>
      </c>
      <c r="I33" s="14">
        <f>SUMIFS(RATING_DATA!$E:$E,RATING_DATA!$A:$A,'2| Non-Default'!$C$3,RATING_DATA!$B:$B,'2| Non-Default'!$A33,RATING_DATA!$C:$C,'2| Non-Default'!$B33,RATING_DATA!$D:$D,'2| Non-Default'!I$11)</f>
        <v>3</v>
      </c>
      <c r="J33" s="14">
        <f>SUMIFS(RATING_DATA!$E:$E,RATING_DATA!$A:$A,'2| Non-Default'!$C$3,RATING_DATA!$B:$B,'2| Non-Default'!$A33,RATING_DATA!$C:$C,'2| Non-Default'!$B33,RATING_DATA!$D:$D,'2| Non-Default'!J$11)</f>
        <v>12</v>
      </c>
      <c r="K33" s="50">
        <f t="shared" si="16"/>
        <v>16</v>
      </c>
      <c r="L33" s="50"/>
      <c r="M33" s="7" t="s">
        <v>11</v>
      </c>
      <c r="N33" s="13">
        <f t="shared" si="17"/>
        <v>0</v>
      </c>
      <c r="O33" s="13">
        <f t="shared" si="17"/>
        <v>0</v>
      </c>
      <c r="P33" s="13">
        <f t="shared" si="17"/>
        <v>0</v>
      </c>
      <c r="Q33" s="13">
        <f t="shared" si="17"/>
        <v>0</v>
      </c>
      <c r="R33" s="13">
        <f t="shared" si="17"/>
        <v>0</v>
      </c>
      <c r="S33" s="13">
        <f t="shared" si="17"/>
        <v>6.25E-2</v>
      </c>
      <c r="T33" s="13">
        <f t="shared" si="17"/>
        <v>0.1875</v>
      </c>
      <c r="U33" s="13">
        <f t="shared" si="17"/>
        <v>0.75</v>
      </c>
      <c r="W33" s="7" t="s">
        <v>11</v>
      </c>
      <c r="X33" s="15">
        <f>IFERROR(SUM(N33:$U33),"")</f>
        <v>1</v>
      </c>
      <c r="Y33" s="15">
        <f>IFERROR(SUM(O33:$U33),"")</f>
        <v>1</v>
      </c>
      <c r="Z33" s="15">
        <f>IFERROR(SUM(P33:$U33),"")</f>
        <v>1</v>
      </c>
      <c r="AA33" s="15">
        <f>IFERROR(SUM(Q33:$U33),"")</f>
        <v>1</v>
      </c>
      <c r="AB33" s="15">
        <f>IFERROR(SUM(R33:$U33),"")</f>
        <v>1</v>
      </c>
      <c r="AC33" s="15">
        <f>IFERROR(SUM(S33:$U33),"")</f>
        <v>1</v>
      </c>
      <c r="AD33" s="15">
        <f>IFERROR(SUM(T33:$U33),"")</f>
        <v>0.9375</v>
      </c>
      <c r="AE33" s="15">
        <f>IFERROR(SUM(U33:$U33),"")</f>
        <v>0.75</v>
      </c>
      <c r="AG33" s="7" t="s">
        <v>11</v>
      </c>
      <c r="AH33" s="15">
        <f t="shared" si="14"/>
        <v>1</v>
      </c>
      <c r="AI33" s="15">
        <f t="shared" si="14"/>
        <v>1</v>
      </c>
      <c r="AJ33" s="15">
        <f t="shared" si="14"/>
        <v>1</v>
      </c>
      <c r="AK33" s="15">
        <f t="shared" si="14"/>
        <v>1</v>
      </c>
      <c r="AL33" s="15">
        <f t="shared" si="14"/>
        <v>1</v>
      </c>
      <c r="AM33" s="15">
        <f t="shared" si="14"/>
        <v>1</v>
      </c>
      <c r="AN33" s="15">
        <f t="shared" si="14"/>
        <v>0.91503965504068285</v>
      </c>
      <c r="AO33" s="15">
        <f t="shared" si="14"/>
        <v>0.7085468442127989</v>
      </c>
      <c r="AP33" s="51">
        <f t="shared" si="20"/>
        <v>0.33676397593427682</v>
      </c>
      <c r="AR33" s="7" t="s">
        <v>11</v>
      </c>
      <c r="AS33" s="15">
        <f t="shared" si="15"/>
        <v>0</v>
      </c>
      <c r="AT33" s="15">
        <f t="shared" si="15"/>
        <v>0</v>
      </c>
      <c r="AU33" s="15">
        <f t="shared" si="15"/>
        <v>0</v>
      </c>
      <c r="AV33" s="15">
        <f t="shared" si="15"/>
        <v>0</v>
      </c>
      <c r="AW33" s="15">
        <f t="shared" si="15"/>
        <v>0</v>
      </c>
      <c r="AX33" s="15">
        <f t="shared" si="15"/>
        <v>8.4960344959317147E-2</v>
      </c>
      <c r="AY33" s="15">
        <f t="shared" si="15"/>
        <v>0.20649281082788395</v>
      </c>
      <c r="AZ33" s="15">
        <f t="shared" si="15"/>
        <v>0.7085468442127989</v>
      </c>
      <c r="BA33" s="53">
        <f t="shared" si="18"/>
        <v>1</v>
      </c>
    </row>
    <row r="35" spans="1:53" x14ac:dyDescent="0.25">
      <c r="B35" s="5" t="s">
        <v>1</v>
      </c>
      <c r="C35" s="5" t="s">
        <v>2</v>
      </c>
      <c r="M35" s="5" t="s">
        <v>1</v>
      </c>
      <c r="N35" s="5" t="s">
        <v>2</v>
      </c>
      <c r="W35" s="5" t="s">
        <v>1</v>
      </c>
      <c r="X35" s="5" t="s">
        <v>2</v>
      </c>
      <c r="AG35" s="5" t="s">
        <v>1</v>
      </c>
      <c r="AH35" s="5" t="s">
        <v>2</v>
      </c>
      <c r="AJ35" s="16" t="s">
        <v>18</v>
      </c>
      <c r="AR35" s="5" t="s">
        <v>1</v>
      </c>
      <c r="AS35" s="5" t="s">
        <v>2</v>
      </c>
    </row>
    <row r="36" spans="1:53" x14ac:dyDescent="0.25">
      <c r="B36" s="6">
        <f>B22+1</f>
        <v>2020</v>
      </c>
      <c r="C36" s="6">
        <f>B36+1</f>
        <v>2021</v>
      </c>
      <c r="M36" s="6">
        <f>B36</f>
        <v>2020</v>
      </c>
      <c r="N36" s="6">
        <f>M36+1</f>
        <v>2021</v>
      </c>
      <c r="W36" s="6">
        <f>M36</f>
        <v>2020</v>
      </c>
      <c r="X36" s="6">
        <f>W36+1</f>
        <v>2021</v>
      </c>
      <c r="AG36" s="6">
        <f>W36</f>
        <v>2020</v>
      </c>
      <c r="AH36" s="6">
        <f>AG36+1</f>
        <v>2021</v>
      </c>
      <c r="AJ36" s="18">
        <f>VLOOKUP($AG36,'1| Parameter'!$B$15:$E$20,4,FALSE)</f>
        <v>0.61288125411290795</v>
      </c>
      <c r="AR36" s="6">
        <f>AG36</f>
        <v>2020</v>
      </c>
      <c r="AS36" s="6">
        <f>AR36+1</f>
        <v>2021</v>
      </c>
    </row>
    <row r="38" spans="1:53" x14ac:dyDescent="0.25">
      <c r="C38" s="11">
        <v>1</v>
      </c>
      <c r="D38" s="11">
        <v>2</v>
      </c>
      <c r="E38" s="11">
        <v>3</v>
      </c>
      <c r="F38" s="11">
        <v>4</v>
      </c>
      <c r="G38" s="11">
        <v>5</v>
      </c>
      <c r="H38" s="11">
        <v>6</v>
      </c>
      <c r="I38" s="11">
        <v>7</v>
      </c>
      <c r="J38" s="11">
        <v>8</v>
      </c>
      <c r="N38" s="11">
        <v>1</v>
      </c>
      <c r="O38" s="11">
        <v>2</v>
      </c>
      <c r="P38" s="11">
        <v>3</v>
      </c>
      <c r="Q38" s="11">
        <v>4</v>
      </c>
      <c r="R38" s="11">
        <v>5</v>
      </c>
      <c r="S38" s="11">
        <v>6</v>
      </c>
      <c r="T38" s="11">
        <v>7</v>
      </c>
      <c r="U38" s="11">
        <v>8</v>
      </c>
      <c r="X38" s="11">
        <v>1</v>
      </c>
      <c r="Y38" s="11">
        <v>2</v>
      </c>
      <c r="Z38" s="11">
        <v>3</v>
      </c>
      <c r="AA38" s="11">
        <v>4</v>
      </c>
      <c r="AB38" s="11">
        <v>5</v>
      </c>
      <c r="AC38" s="11">
        <v>6</v>
      </c>
      <c r="AD38" s="11">
        <v>7</v>
      </c>
      <c r="AE38" s="11">
        <v>8</v>
      </c>
      <c r="AH38" s="11">
        <v>1</v>
      </c>
      <c r="AI38" s="11">
        <v>2</v>
      </c>
      <c r="AJ38" s="11">
        <v>3</v>
      </c>
      <c r="AK38" s="11">
        <v>4</v>
      </c>
      <c r="AL38" s="11">
        <v>5</v>
      </c>
      <c r="AM38" s="11">
        <v>6</v>
      </c>
      <c r="AN38" s="11">
        <v>7</v>
      </c>
      <c r="AO38" s="11">
        <v>8</v>
      </c>
      <c r="AS38" s="11">
        <v>1</v>
      </c>
      <c r="AT38" s="11">
        <v>2</v>
      </c>
      <c r="AU38" s="11">
        <v>3</v>
      </c>
      <c r="AV38" s="11">
        <v>4</v>
      </c>
      <c r="AW38" s="11">
        <v>5</v>
      </c>
      <c r="AX38" s="11">
        <v>6</v>
      </c>
      <c r="AY38" s="11">
        <v>7</v>
      </c>
      <c r="AZ38" s="11">
        <v>8</v>
      </c>
    </row>
    <row r="39" spans="1:53" x14ac:dyDescent="0.25">
      <c r="B39" s="8" t="s">
        <v>12</v>
      </c>
      <c r="C39" s="9" t="s">
        <v>3</v>
      </c>
      <c r="D39" s="9" t="s">
        <v>5</v>
      </c>
      <c r="E39" s="9" t="s">
        <v>6</v>
      </c>
      <c r="F39" s="9" t="s">
        <v>7</v>
      </c>
      <c r="G39" s="9" t="s">
        <v>8</v>
      </c>
      <c r="H39" s="9" t="s">
        <v>9</v>
      </c>
      <c r="I39" s="9" t="s">
        <v>10</v>
      </c>
      <c r="J39" s="9" t="s">
        <v>11</v>
      </c>
      <c r="K39" s="11" t="s">
        <v>22</v>
      </c>
      <c r="L39" s="11"/>
      <c r="M39" s="8" t="s">
        <v>12</v>
      </c>
      <c r="N39" s="9" t="s">
        <v>3</v>
      </c>
      <c r="O39" s="9" t="s">
        <v>5</v>
      </c>
      <c r="P39" s="9" t="s">
        <v>6</v>
      </c>
      <c r="Q39" s="9" t="s">
        <v>7</v>
      </c>
      <c r="R39" s="9" t="s">
        <v>8</v>
      </c>
      <c r="S39" s="9" t="s">
        <v>9</v>
      </c>
      <c r="T39" s="9" t="s">
        <v>10</v>
      </c>
      <c r="U39" s="9" t="s">
        <v>11</v>
      </c>
      <c r="W39" s="8" t="s">
        <v>12</v>
      </c>
      <c r="X39" s="9" t="s">
        <v>3</v>
      </c>
      <c r="Y39" s="9" t="s">
        <v>5</v>
      </c>
      <c r="Z39" s="9" t="s">
        <v>6</v>
      </c>
      <c r="AA39" s="9" t="s">
        <v>7</v>
      </c>
      <c r="AB39" s="9" t="s">
        <v>8</v>
      </c>
      <c r="AC39" s="9" t="s">
        <v>9</v>
      </c>
      <c r="AD39" s="9" t="s">
        <v>10</v>
      </c>
      <c r="AE39" s="9" t="s">
        <v>11</v>
      </c>
      <c r="AG39" s="8" t="s">
        <v>12</v>
      </c>
      <c r="AH39" s="9" t="s">
        <v>3</v>
      </c>
      <c r="AI39" s="9" t="s">
        <v>5</v>
      </c>
      <c r="AJ39" s="9" t="s">
        <v>6</v>
      </c>
      <c r="AK39" s="9" t="s">
        <v>7</v>
      </c>
      <c r="AL39" s="9" t="s">
        <v>8</v>
      </c>
      <c r="AM39" s="9" t="s">
        <v>9</v>
      </c>
      <c r="AN39" s="9" t="s">
        <v>10</v>
      </c>
      <c r="AO39" s="9" t="s">
        <v>11</v>
      </c>
      <c r="AP39" s="11" t="s">
        <v>18</v>
      </c>
      <c r="AR39" s="8" t="s">
        <v>12</v>
      </c>
      <c r="AS39" s="9" t="s">
        <v>3</v>
      </c>
      <c r="AT39" s="9" t="s">
        <v>5</v>
      </c>
      <c r="AU39" s="9" t="s">
        <v>6</v>
      </c>
      <c r="AV39" s="9" t="s">
        <v>7</v>
      </c>
      <c r="AW39" s="9" t="s">
        <v>8</v>
      </c>
      <c r="AX39" s="9" t="s">
        <v>9</v>
      </c>
      <c r="AY39" s="9" t="s">
        <v>10</v>
      </c>
      <c r="AZ39" s="9" t="s">
        <v>11</v>
      </c>
    </row>
    <row r="40" spans="1:53" x14ac:dyDescent="0.25">
      <c r="A40" s="10">
        <f>B36</f>
        <v>2020</v>
      </c>
      <c r="B40" s="7" t="s">
        <v>3</v>
      </c>
      <c r="C40" s="14">
        <f>SUMIFS(RATING_DATA!$E:$E,RATING_DATA!$A:$A,'2| Non-Default'!$C$3,RATING_DATA!$B:$B,'2| Non-Default'!$A40,RATING_DATA!$C:$C,'2| Non-Default'!$B40,RATING_DATA!$D:$D,'2| Non-Default'!C$11)</f>
        <v>0</v>
      </c>
      <c r="D40" s="14">
        <f>SUMIFS(RATING_DATA!$E:$E,RATING_DATA!$A:$A,'2| Non-Default'!$C$3,RATING_DATA!$B:$B,'2| Non-Default'!$A40,RATING_DATA!$C:$C,'2| Non-Default'!$B40,RATING_DATA!$D:$D,'2| Non-Default'!D$11)</f>
        <v>0</v>
      </c>
      <c r="E40" s="14">
        <f>SUMIFS(RATING_DATA!$E:$E,RATING_DATA!$A:$A,'2| Non-Default'!$C$3,RATING_DATA!$B:$B,'2| Non-Default'!$A40,RATING_DATA!$C:$C,'2| Non-Default'!$B40,RATING_DATA!$D:$D,'2| Non-Default'!E$11)</f>
        <v>0</v>
      </c>
      <c r="F40" s="14">
        <f>SUMIFS(RATING_DATA!$E:$E,RATING_DATA!$A:$A,'2| Non-Default'!$C$3,RATING_DATA!$B:$B,'2| Non-Default'!$A40,RATING_DATA!$C:$C,'2| Non-Default'!$B40,RATING_DATA!$D:$D,'2| Non-Default'!F$11)</f>
        <v>0</v>
      </c>
      <c r="G40" s="14">
        <f>SUMIFS(RATING_DATA!$E:$E,RATING_DATA!$A:$A,'2| Non-Default'!$C$3,RATING_DATA!$B:$B,'2| Non-Default'!$A40,RATING_DATA!$C:$C,'2| Non-Default'!$B40,RATING_DATA!$D:$D,'2| Non-Default'!G$11)</f>
        <v>0</v>
      </c>
      <c r="H40" s="14">
        <f>SUMIFS(RATING_DATA!$E:$E,RATING_DATA!$A:$A,'2| Non-Default'!$C$3,RATING_DATA!$B:$B,'2| Non-Default'!$A40,RATING_DATA!$C:$C,'2| Non-Default'!$B40,RATING_DATA!$D:$D,'2| Non-Default'!H$11)</f>
        <v>0</v>
      </c>
      <c r="I40" s="14">
        <f>SUMIFS(RATING_DATA!$E:$E,RATING_DATA!$A:$A,'2| Non-Default'!$C$3,RATING_DATA!$B:$B,'2| Non-Default'!$A40,RATING_DATA!$C:$C,'2| Non-Default'!$B40,RATING_DATA!$D:$D,'2| Non-Default'!I$11)</f>
        <v>0</v>
      </c>
      <c r="J40" s="14">
        <f>SUMIFS(RATING_DATA!$E:$E,RATING_DATA!$A:$A,'2| Non-Default'!$C$3,RATING_DATA!$B:$B,'2| Non-Default'!$A40,RATING_DATA!$C:$C,'2| Non-Default'!$B40,RATING_DATA!$D:$D,'2| Non-Default'!J$11)</f>
        <v>0</v>
      </c>
      <c r="K40" s="50">
        <f>SUM(C40:J40)</f>
        <v>0</v>
      </c>
      <c r="L40" s="50"/>
      <c r="M40" s="7" t="s">
        <v>3</v>
      </c>
      <c r="N40" s="13" t="str">
        <f t="shared" ref="N40:U40" si="21">IFERROR(C40/$K40,"")</f>
        <v/>
      </c>
      <c r="O40" s="13" t="str">
        <f t="shared" si="21"/>
        <v/>
      </c>
      <c r="P40" s="13" t="str">
        <f t="shared" si="21"/>
        <v/>
      </c>
      <c r="Q40" s="13" t="str">
        <f t="shared" si="21"/>
        <v/>
      </c>
      <c r="R40" s="13" t="str">
        <f t="shared" si="21"/>
        <v/>
      </c>
      <c r="S40" s="13" t="str">
        <f t="shared" si="21"/>
        <v/>
      </c>
      <c r="T40" s="13" t="str">
        <f t="shared" si="21"/>
        <v/>
      </c>
      <c r="U40" s="13" t="str">
        <f t="shared" si="21"/>
        <v/>
      </c>
      <c r="W40" s="7" t="s">
        <v>3</v>
      </c>
      <c r="X40" s="15">
        <f>IFERROR(SUM(N40:$U40),"")</f>
        <v>0</v>
      </c>
      <c r="Y40" s="15">
        <f>IFERROR(SUM(O40:$U40),"")</f>
        <v>0</v>
      </c>
      <c r="Z40" s="15">
        <f>IFERROR(SUM(P40:$U40),"")</f>
        <v>0</v>
      </c>
      <c r="AA40" s="15">
        <f>IFERROR(SUM(Q40:$U40),"")</f>
        <v>0</v>
      </c>
      <c r="AB40" s="15">
        <f>IFERROR(SUM(R40:$U40),"")</f>
        <v>0</v>
      </c>
      <c r="AC40" s="15">
        <f>IFERROR(SUM(S40:$U40),"")</f>
        <v>0</v>
      </c>
      <c r="AD40" s="15">
        <f>IFERROR(SUM(T40:$U40),"")</f>
        <v>0</v>
      </c>
      <c r="AE40" s="15">
        <f>IFERROR(SUM(U40:$U40),"")</f>
        <v>0</v>
      </c>
      <c r="AG40" s="7" t="s">
        <v>3</v>
      </c>
      <c r="AH40" s="15">
        <f t="shared" ref="AH40:AO47" si="22">IF(X40=1,1,IF(X40=0,0,NORMSDIST(NORMSINV(X40)*(SQRT(1-$F$3))-SQRT($F$3)*$AP40)))</f>
        <v>0</v>
      </c>
      <c r="AI40" s="15">
        <f t="shared" si="22"/>
        <v>0</v>
      </c>
      <c r="AJ40" s="15">
        <f t="shared" si="22"/>
        <v>0</v>
      </c>
      <c r="AK40" s="15">
        <f t="shared" si="22"/>
        <v>0</v>
      </c>
      <c r="AL40" s="15">
        <f t="shared" si="22"/>
        <v>0</v>
      </c>
      <c r="AM40" s="15">
        <f t="shared" si="22"/>
        <v>0</v>
      </c>
      <c r="AN40" s="15">
        <f t="shared" si="22"/>
        <v>0</v>
      </c>
      <c r="AO40" s="15">
        <f t="shared" si="22"/>
        <v>0</v>
      </c>
      <c r="AP40" s="51">
        <f>AJ36</f>
        <v>0.61288125411290795</v>
      </c>
      <c r="AR40" s="7" t="s">
        <v>3</v>
      </c>
      <c r="AS40" s="15">
        <f t="shared" ref="AS40:AZ47" si="23">IF(AS$10&lt;&gt;MAX($AS$10:$AZ$10),IFERROR(AH40-AI40,""),AH40)</f>
        <v>0</v>
      </c>
      <c r="AT40" s="15">
        <f t="shared" si="23"/>
        <v>0</v>
      </c>
      <c r="AU40" s="15">
        <f t="shared" si="23"/>
        <v>0</v>
      </c>
      <c r="AV40" s="15">
        <f t="shared" si="23"/>
        <v>0</v>
      </c>
      <c r="AW40" s="15">
        <f t="shared" si="23"/>
        <v>0</v>
      </c>
      <c r="AX40" s="15">
        <f t="shared" si="23"/>
        <v>0</v>
      </c>
      <c r="AY40" s="15">
        <f t="shared" si="23"/>
        <v>0</v>
      </c>
      <c r="AZ40" s="15">
        <f t="shared" si="23"/>
        <v>0</v>
      </c>
      <c r="BA40" s="53">
        <f>SUM(AS40:AZ40)</f>
        <v>0</v>
      </c>
    </row>
    <row r="41" spans="1:53" x14ac:dyDescent="0.25">
      <c r="A41" s="10">
        <f>A40</f>
        <v>2020</v>
      </c>
      <c r="B41" s="7" t="s">
        <v>5</v>
      </c>
      <c r="C41" s="14">
        <f>SUMIFS(RATING_DATA!$E:$E,RATING_DATA!$A:$A,'2| Non-Default'!$C$3,RATING_DATA!$B:$B,'2| Non-Default'!$A41,RATING_DATA!$C:$C,'2| Non-Default'!$B41,RATING_DATA!$D:$D,'2| Non-Default'!C$11)</f>
        <v>0</v>
      </c>
      <c r="D41" s="14">
        <f>SUMIFS(RATING_DATA!$E:$E,RATING_DATA!$A:$A,'2| Non-Default'!$C$3,RATING_DATA!$B:$B,'2| Non-Default'!$A41,RATING_DATA!$C:$C,'2| Non-Default'!$B41,RATING_DATA!$D:$D,'2| Non-Default'!D$11)</f>
        <v>1</v>
      </c>
      <c r="E41" s="14">
        <f>SUMIFS(RATING_DATA!$E:$E,RATING_DATA!$A:$A,'2| Non-Default'!$C$3,RATING_DATA!$B:$B,'2| Non-Default'!$A41,RATING_DATA!$C:$C,'2| Non-Default'!$B41,RATING_DATA!$D:$D,'2| Non-Default'!E$11)</f>
        <v>0</v>
      </c>
      <c r="F41" s="14">
        <f>SUMIFS(RATING_DATA!$E:$E,RATING_DATA!$A:$A,'2| Non-Default'!$C$3,RATING_DATA!$B:$B,'2| Non-Default'!$A41,RATING_DATA!$C:$C,'2| Non-Default'!$B41,RATING_DATA!$D:$D,'2| Non-Default'!F$11)</f>
        <v>0</v>
      </c>
      <c r="G41" s="14">
        <f>SUMIFS(RATING_DATA!$E:$E,RATING_DATA!$A:$A,'2| Non-Default'!$C$3,RATING_DATA!$B:$B,'2| Non-Default'!$A41,RATING_DATA!$C:$C,'2| Non-Default'!$B41,RATING_DATA!$D:$D,'2| Non-Default'!G$11)</f>
        <v>0</v>
      </c>
      <c r="H41" s="14">
        <f>SUMIFS(RATING_DATA!$E:$E,RATING_DATA!$A:$A,'2| Non-Default'!$C$3,RATING_DATA!$B:$B,'2| Non-Default'!$A41,RATING_DATA!$C:$C,'2| Non-Default'!$B41,RATING_DATA!$D:$D,'2| Non-Default'!H$11)</f>
        <v>0</v>
      </c>
      <c r="I41" s="14">
        <f>SUMIFS(RATING_DATA!$E:$E,RATING_DATA!$A:$A,'2| Non-Default'!$C$3,RATING_DATA!$B:$B,'2| Non-Default'!$A41,RATING_DATA!$C:$C,'2| Non-Default'!$B41,RATING_DATA!$D:$D,'2| Non-Default'!I$11)</f>
        <v>0</v>
      </c>
      <c r="J41" s="14">
        <f>SUMIFS(RATING_DATA!$E:$E,RATING_DATA!$A:$A,'2| Non-Default'!$C$3,RATING_DATA!$B:$B,'2| Non-Default'!$A41,RATING_DATA!$C:$C,'2| Non-Default'!$B41,RATING_DATA!$D:$D,'2| Non-Default'!J$11)</f>
        <v>0</v>
      </c>
      <c r="K41" s="50">
        <f t="shared" ref="K41:K47" si="24">SUM(C41:J41)</f>
        <v>1</v>
      </c>
      <c r="L41" s="50"/>
      <c r="M41" s="7" t="s">
        <v>5</v>
      </c>
      <c r="N41" s="13">
        <f t="shared" ref="N41:U47" si="25">IFERROR(C41/SUM($C41:$J41),"")</f>
        <v>0</v>
      </c>
      <c r="O41" s="13">
        <f t="shared" si="25"/>
        <v>1</v>
      </c>
      <c r="P41" s="13">
        <f t="shared" si="25"/>
        <v>0</v>
      </c>
      <c r="Q41" s="13">
        <f t="shared" si="25"/>
        <v>0</v>
      </c>
      <c r="R41" s="13">
        <f t="shared" si="25"/>
        <v>0</v>
      </c>
      <c r="S41" s="13">
        <f t="shared" si="25"/>
        <v>0</v>
      </c>
      <c r="T41" s="13">
        <f t="shared" si="25"/>
        <v>0</v>
      </c>
      <c r="U41" s="13">
        <f t="shared" si="25"/>
        <v>0</v>
      </c>
      <c r="W41" s="7" t="s">
        <v>5</v>
      </c>
      <c r="X41" s="15">
        <f>IFERROR(SUM(N41:$U41),"")</f>
        <v>1</v>
      </c>
      <c r="Y41" s="15">
        <f>IFERROR(SUM(O41:$U41),"")</f>
        <v>1</v>
      </c>
      <c r="Z41" s="15">
        <f>IFERROR(SUM(P41:$U41),"")</f>
        <v>0</v>
      </c>
      <c r="AA41" s="15">
        <f>IFERROR(SUM(Q41:$U41),"")</f>
        <v>0</v>
      </c>
      <c r="AB41" s="15">
        <f>IFERROR(SUM(R41:$U41),"")</f>
        <v>0</v>
      </c>
      <c r="AC41" s="15">
        <f>IFERROR(SUM(S41:$U41),"")</f>
        <v>0</v>
      </c>
      <c r="AD41" s="15">
        <f>IFERROR(SUM(T41:$U41),"")</f>
        <v>0</v>
      </c>
      <c r="AE41" s="15">
        <f>IFERROR(SUM(U41:$U41),"")</f>
        <v>0</v>
      </c>
      <c r="AG41" s="7" t="s">
        <v>5</v>
      </c>
      <c r="AH41" s="15">
        <f t="shared" si="22"/>
        <v>1</v>
      </c>
      <c r="AI41" s="15">
        <f t="shared" si="22"/>
        <v>1</v>
      </c>
      <c r="AJ41" s="15">
        <f t="shared" si="22"/>
        <v>0</v>
      </c>
      <c r="AK41" s="15">
        <f t="shared" si="22"/>
        <v>0</v>
      </c>
      <c r="AL41" s="15">
        <f t="shared" si="22"/>
        <v>0</v>
      </c>
      <c r="AM41" s="15">
        <f t="shared" si="22"/>
        <v>0</v>
      </c>
      <c r="AN41" s="15">
        <f t="shared" si="22"/>
        <v>0</v>
      </c>
      <c r="AO41" s="15">
        <f t="shared" si="22"/>
        <v>0</v>
      </c>
      <c r="AP41" s="51">
        <f>AP40</f>
        <v>0.61288125411290795</v>
      </c>
      <c r="AR41" s="7" t="s">
        <v>5</v>
      </c>
      <c r="AS41" s="15">
        <f t="shared" si="23"/>
        <v>0</v>
      </c>
      <c r="AT41" s="15">
        <f t="shared" si="23"/>
        <v>1</v>
      </c>
      <c r="AU41" s="15">
        <f t="shared" si="23"/>
        <v>0</v>
      </c>
      <c r="AV41" s="15">
        <f t="shared" si="23"/>
        <v>0</v>
      </c>
      <c r="AW41" s="15">
        <f t="shared" si="23"/>
        <v>0</v>
      </c>
      <c r="AX41" s="15">
        <f t="shared" si="23"/>
        <v>0</v>
      </c>
      <c r="AY41" s="15">
        <f t="shared" si="23"/>
        <v>0</v>
      </c>
      <c r="AZ41" s="15">
        <f t="shared" si="23"/>
        <v>0</v>
      </c>
      <c r="BA41" s="53">
        <f t="shared" ref="BA41:BA47" si="26">SUM(AS41:AZ41)</f>
        <v>1</v>
      </c>
    </row>
    <row r="42" spans="1:53" x14ac:dyDescent="0.25">
      <c r="A42" s="10">
        <f t="shared" ref="A42:A47" si="27">A41</f>
        <v>2020</v>
      </c>
      <c r="B42" s="7" t="s">
        <v>6</v>
      </c>
      <c r="C42" s="14">
        <f>SUMIFS(RATING_DATA!$E:$E,RATING_DATA!$A:$A,'2| Non-Default'!$C$3,RATING_DATA!$B:$B,'2| Non-Default'!$A42,RATING_DATA!$C:$C,'2| Non-Default'!$B42,RATING_DATA!$D:$D,'2| Non-Default'!C$11)</f>
        <v>0</v>
      </c>
      <c r="D42" s="14">
        <f>SUMIFS(RATING_DATA!$E:$E,RATING_DATA!$A:$A,'2| Non-Default'!$C$3,RATING_DATA!$B:$B,'2| Non-Default'!$A42,RATING_DATA!$C:$C,'2| Non-Default'!$B42,RATING_DATA!$D:$D,'2| Non-Default'!D$11)</f>
        <v>0</v>
      </c>
      <c r="E42" s="14">
        <f>SUMIFS(RATING_DATA!$E:$E,RATING_DATA!$A:$A,'2| Non-Default'!$C$3,RATING_DATA!$B:$B,'2| Non-Default'!$A42,RATING_DATA!$C:$C,'2| Non-Default'!$B42,RATING_DATA!$D:$D,'2| Non-Default'!E$11)</f>
        <v>0</v>
      </c>
      <c r="F42" s="14">
        <f>SUMIFS(RATING_DATA!$E:$E,RATING_DATA!$A:$A,'2| Non-Default'!$C$3,RATING_DATA!$B:$B,'2| Non-Default'!$A42,RATING_DATA!$C:$C,'2| Non-Default'!$B42,RATING_DATA!$D:$D,'2| Non-Default'!F$11)</f>
        <v>0</v>
      </c>
      <c r="G42" s="14">
        <f>SUMIFS(RATING_DATA!$E:$E,RATING_DATA!$A:$A,'2| Non-Default'!$C$3,RATING_DATA!$B:$B,'2| Non-Default'!$A42,RATING_DATA!$C:$C,'2| Non-Default'!$B42,RATING_DATA!$D:$D,'2| Non-Default'!G$11)</f>
        <v>0</v>
      </c>
      <c r="H42" s="14">
        <f>SUMIFS(RATING_DATA!$E:$E,RATING_DATA!$A:$A,'2| Non-Default'!$C$3,RATING_DATA!$B:$B,'2| Non-Default'!$A42,RATING_DATA!$C:$C,'2| Non-Default'!$B42,RATING_DATA!$D:$D,'2| Non-Default'!H$11)</f>
        <v>0</v>
      </c>
      <c r="I42" s="14">
        <f>SUMIFS(RATING_DATA!$E:$E,RATING_DATA!$A:$A,'2| Non-Default'!$C$3,RATING_DATA!$B:$B,'2| Non-Default'!$A42,RATING_DATA!$C:$C,'2| Non-Default'!$B42,RATING_DATA!$D:$D,'2| Non-Default'!I$11)</f>
        <v>0</v>
      </c>
      <c r="J42" s="14">
        <f>SUMIFS(RATING_DATA!$E:$E,RATING_DATA!$A:$A,'2| Non-Default'!$C$3,RATING_DATA!$B:$B,'2| Non-Default'!$A42,RATING_DATA!$C:$C,'2| Non-Default'!$B42,RATING_DATA!$D:$D,'2| Non-Default'!J$11)</f>
        <v>0</v>
      </c>
      <c r="K42" s="50">
        <f t="shared" si="24"/>
        <v>0</v>
      </c>
      <c r="L42" s="50"/>
      <c r="M42" s="7" t="s">
        <v>6</v>
      </c>
      <c r="N42" s="13" t="str">
        <f t="shared" si="25"/>
        <v/>
      </c>
      <c r="O42" s="13" t="str">
        <f t="shared" si="25"/>
        <v/>
      </c>
      <c r="P42" s="13" t="str">
        <f t="shared" si="25"/>
        <v/>
      </c>
      <c r="Q42" s="13" t="str">
        <f t="shared" si="25"/>
        <v/>
      </c>
      <c r="R42" s="13" t="str">
        <f t="shared" si="25"/>
        <v/>
      </c>
      <c r="S42" s="13" t="str">
        <f t="shared" si="25"/>
        <v/>
      </c>
      <c r="T42" s="13" t="str">
        <f t="shared" si="25"/>
        <v/>
      </c>
      <c r="U42" s="13" t="str">
        <f t="shared" si="25"/>
        <v/>
      </c>
      <c r="W42" s="7" t="s">
        <v>6</v>
      </c>
      <c r="X42" s="15">
        <f>IFERROR(SUM(N42:$U42),"")</f>
        <v>0</v>
      </c>
      <c r="Y42" s="15">
        <f>IFERROR(SUM(O42:$U42),"")</f>
        <v>0</v>
      </c>
      <c r="Z42" s="15">
        <f>IFERROR(SUM(P42:$U42),"")</f>
        <v>0</v>
      </c>
      <c r="AA42" s="15">
        <f>IFERROR(SUM(Q42:$U42),"")</f>
        <v>0</v>
      </c>
      <c r="AB42" s="15">
        <f>IFERROR(SUM(R42:$U42),"")</f>
        <v>0</v>
      </c>
      <c r="AC42" s="15">
        <f>IFERROR(SUM(S42:$U42),"")</f>
        <v>0</v>
      </c>
      <c r="AD42" s="15">
        <f>IFERROR(SUM(T42:$U42),"")</f>
        <v>0</v>
      </c>
      <c r="AE42" s="15">
        <f>IFERROR(SUM(U42:$U42),"")</f>
        <v>0</v>
      </c>
      <c r="AG42" s="7" t="s">
        <v>6</v>
      </c>
      <c r="AH42" s="15">
        <f t="shared" si="22"/>
        <v>0</v>
      </c>
      <c r="AI42" s="15">
        <f t="shared" si="22"/>
        <v>0</v>
      </c>
      <c r="AJ42" s="15">
        <f t="shared" si="22"/>
        <v>0</v>
      </c>
      <c r="AK42" s="15">
        <f t="shared" si="22"/>
        <v>0</v>
      </c>
      <c r="AL42" s="15">
        <f t="shared" si="22"/>
        <v>0</v>
      </c>
      <c r="AM42" s="15">
        <f t="shared" si="22"/>
        <v>0</v>
      </c>
      <c r="AN42" s="15">
        <f t="shared" si="22"/>
        <v>0</v>
      </c>
      <c r="AO42" s="15">
        <f t="shared" si="22"/>
        <v>0</v>
      </c>
      <c r="AP42" s="51">
        <f t="shared" ref="AP42:AP47" si="28">AP41</f>
        <v>0.61288125411290795</v>
      </c>
      <c r="AR42" s="7" t="s">
        <v>6</v>
      </c>
      <c r="AS42" s="15">
        <f t="shared" si="23"/>
        <v>0</v>
      </c>
      <c r="AT42" s="15">
        <f t="shared" si="23"/>
        <v>0</v>
      </c>
      <c r="AU42" s="15">
        <f t="shared" si="23"/>
        <v>0</v>
      </c>
      <c r="AV42" s="15">
        <f t="shared" si="23"/>
        <v>0</v>
      </c>
      <c r="AW42" s="15">
        <f t="shared" si="23"/>
        <v>0</v>
      </c>
      <c r="AX42" s="15">
        <f t="shared" si="23"/>
        <v>0</v>
      </c>
      <c r="AY42" s="15">
        <f t="shared" si="23"/>
        <v>0</v>
      </c>
      <c r="AZ42" s="15">
        <f t="shared" si="23"/>
        <v>0</v>
      </c>
      <c r="BA42" s="53">
        <f t="shared" si="26"/>
        <v>0</v>
      </c>
    </row>
    <row r="43" spans="1:53" x14ac:dyDescent="0.25">
      <c r="A43" s="10">
        <f t="shared" si="27"/>
        <v>2020</v>
      </c>
      <c r="B43" s="7" t="s">
        <v>7</v>
      </c>
      <c r="C43" s="14">
        <f>SUMIFS(RATING_DATA!$E:$E,RATING_DATA!$A:$A,'2| Non-Default'!$C$3,RATING_DATA!$B:$B,'2| Non-Default'!$A43,RATING_DATA!$C:$C,'2| Non-Default'!$B43,RATING_DATA!$D:$D,'2| Non-Default'!C$11)</f>
        <v>0</v>
      </c>
      <c r="D43" s="14">
        <f>SUMIFS(RATING_DATA!$E:$E,RATING_DATA!$A:$A,'2| Non-Default'!$C$3,RATING_DATA!$B:$B,'2| Non-Default'!$A43,RATING_DATA!$C:$C,'2| Non-Default'!$B43,RATING_DATA!$D:$D,'2| Non-Default'!D$11)</f>
        <v>0</v>
      </c>
      <c r="E43" s="14">
        <f>SUMIFS(RATING_DATA!$E:$E,RATING_DATA!$A:$A,'2| Non-Default'!$C$3,RATING_DATA!$B:$B,'2| Non-Default'!$A43,RATING_DATA!$C:$C,'2| Non-Default'!$B43,RATING_DATA!$D:$D,'2| Non-Default'!E$11)</f>
        <v>0</v>
      </c>
      <c r="F43" s="14">
        <f>SUMIFS(RATING_DATA!$E:$E,RATING_DATA!$A:$A,'2| Non-Default'!$C$3,RATING_DATA!$B:$B,'2| Non-Default'!$A43,RATING_DATA!$C:$C,'2| Non-Default'!$B43,RATING_DATA!$D:$D,'2| Non-Default'!F$11)</f>
        <v>0</v>
      </c>
      <c r="G43" s="14">
        <f>SUMIFS(RATING_DATA!$E:$E,RATING_DATA!$A:$A,'2| Non-Default'!$C$3,RATING_DATA!$B:$B,'2| Non-Default'!$A43,RATING_DATA!$C:$C,'2| Non-Default'!$B43,RATING_DATA!$D:$D,'2| Non-Default'!G$11)</f>
        <v>1</v>
      </c>
      <c r="H43" s="14">
        <f>SUMIFS(RATING_DATA!$E:$E,RATING_DATA!$A:$A,'2| Non-Default'!$C$3,RATING_DATA!$B:$B,'2| Non-Default'!$A43,RATING_DATA!$C:$C,'2| Non-Default'!$B43,RATING_DATA!$D:$D,'2| Non-Default'!H$11)</f>
        <v>0</v>
      </c>
      <c r="I43" s="14">
        <f>SUMIFS(RATING_DATA!$E:$E,RATING_DATA!$A:$A,'2| Non-Default'!$C$3,RATING_DATA!$B:$B,'2| Non-Default'!$A43,RATING_DATA!$C:$C,'2| Non-Default'!$B43,RATING_DATA!$D:$D,'2| Non-Default'!I$11)</f>
        <v>0</v>
      </c>
      <c r="J43" s="14">
        <f>SUMIFS(RATING_DATA!$E:$E,RATING_DATA!$A:$A,'2| Non-Default'!$C$3,RATING_DATA!$B:$B,'2| Non-Default'!$A43,RATING_DATA!$C:$C,'2| Non-Default'!$B43,RATING_DATA!$D:$D,'2| Non-Default'!J$11)</f>
        <v>0</v>
      </c>
      <c r="K43" s="50">
        <f t="shared" si="24"/>
        <v>1</v>
      </c>
      <c r="L43" s="50"/>
      <c r="M43" s="7" t="s">
        <v>7</v>
      </c>
      <c r="N43" s="13">
        <f t="shared" si="25"/>
        <v>0</v>
      </c>
      <c r="O43" s="13">
        <f t="shared" si="25"/>
        <v>0</v>
      </c>
      <c r="P43" s="13">
        <f t="shared" si="25"/>
        <v>0</v>
      </c>
      <c r="Q43" s="13">
        <f t="shared" si="25"/>
        <v>0</v>
      </c>
      <c r="R43" s="13">
        <f t="shared" si="25"/>
        <v>1</v>
      </c>
      <c r="S43" s="13">
        <f t="shared" si="25"/>
        <v>0</v>
      </c>
      <c r="T43" s="13">
        <f t="shared" si="25"/>
        <v>0</v>
      </c>
      <c r="U43" s="13">
        <f t="shared" si="25"/>
        <v>0</v>
      </c>
      <c r="W43" s="7" t="s">
        <v>7</v>
      </c>
      <c r="X43" s="15">
        <f>IFERROR(SUM(N43:$U43),"")</f>
        <v>1</v>
      </c>
      <c r="Y43" s="15">
        <f>IFERROR(SUM(O43:$U43),"")</f>
        <v>1</v>
      </c>
      <c r="Z43" s="15">
        <f>IFERROR(SUM(P43:$U43),"")</f>
        <v>1</v>
      </c>
      <c r="AA43" s="15">
        <f>IFERROR(SUM(Q43:$U43),"")</f>
        <v>1</v>
      </c>
      <c r="AB43" s="15">
        <f>IFERROR(SUM(R43:$U43),"")</f>
        <v>1</v>
      </c>
      <c r="AC43" s="15">
        <f>IFERROR(SUM(S43:$U43),"")</f>
        <v>0</v>
      </c>
      <c r="AD43" s="15">
        <f>IFERROR(SUM(T43:$U43),"")</f>
        <v>0</v>
      </c>
      <c r="AE43" s="15">
        <f>IFERROR(SUM(U43:$U43),"")</f>
        <v>0</v>
      </c>
      <c r="AG43" s="7" t="s">
        <v>7</v>
      </c>
      <c r="AH43" s="15">
        <f t="shared" si="22"/>
        <v>1</v>
      </c>
      <c r="AI43" s="15">
        <f t="shared" si="22"/>
        <v>1</v>
      </c>
      <c r="AJ43" s="15">
        <f t="shared" si="22"/>
        <v>1</v>
      </c>
      <c r="AK43" s="15">
        <f t="shared" si="22"/>
        <v>1</v>
      </c>
      <c r="AL43" s="15">
        <f t="shared" si="22"/>
        <v>1</v>
      </c>
      <c r="AM43" s="15">
        <f t="shared" si="22"/>
        <v>0</v>
      </c>
      <c r="AN43" s="15">
        <f t="shared" si="22"/>
        <v>0</v>
      </c>
      <c r="AO43" s="15">
        <f t="shared" si="22"/>
        <v>0</v>
      </c>
      <c r="AP43" s="51">
        <f t="shared" si="28"/>
        <v>0.61288125411290795</v>
      </c>
      <c r="AR43" s="7" t="s">
        <v>7</v>
      </c>
      <c r="AS43" s="15">
        <f t="shared" si="23"/>
        <v>0</v>
      </c>
      <c r="AT43" s="15">
        <f t="shared" si="23"/>
        <v>0</v>
      </c>
      <c r="AU43" s="15">
        <f t="shared" si="23"/>
        <v>0</v>
      </c>
      <c r="AV43" s="15">
        <f t="shared" si="23"/>
        <v>0</v>
      </c>
      <c r="AW43" s="15">
        <f t="shared" si="23"/>
        <v>1</v>
      </c>
      <c r="AX43" s="15">
        <f t="shared" si="23"/>
        <v>0</v>
      </c>
      <c r="AY43" s="15">
        <f t="shared" si="23"/>
        <v>0</v>
      </c>
      <c r="AZ43" s="15">
        <f t="shared" si="23"/>
        <v>0</v>
      </c>
      <c r="BA43" s="53">
        <f t="shared" si="26"/>
        <v>1</v>
      </c>
    </row>
    <row r="44" spans="1:53" x14ac:dyDescent="0.25">
      <c r="A44" s="10">
        <f t="shared" si="27"/>
        <v>2020</v>
      </c>
      <c r="B44" s="7" t="s">
        <v>8</v>
      </c>
      <c r="C44" s="14">
        <f>SUMIFS(RATING_DATA!$E:$E,RATING_DATA!$A:$A,'2| Non-Default'!$C$3,RATING_DATA!$B:$B,'2| Non-Default'!$A44,RATING_DATA!$C:$C,'2| Non-Default'!$B44,RATING_DATA!$D:$D,'2| Non-Default'!C$11)</f>
        <v>0</v>
      </c>
      <c r="D44" s="14">
        <f>SUMIFS(RATING_DATA!$E:$E,RATING_DATA!$A:$A,'2| Non-Default'!$C$3,RATING_DATA!$B:$B,'2| Non-Default'!$A44,RATING_DATA!$C:$C,'2| Non-Default'!$B44,RATING_DATA!$D:$D,'2| Non-Default'!D$11)</f>
        <v>0</v>
      </c>
      <c r="E44" s="14">
        <f>SUMIFS(RATING_DATA!$E:$E,RATING_DATA!$A:$A,'2| Non-Default'!$C$3,RATING_DATA!$B:$B,'2| Non-Default'!$A44,RATING_DATA!$C:$C,'2| Non-Default'!$B44,RATING_DATA!$D:$D,'2| Non-Default'!E$11)</f>
        <v>0</v>
      </c>
      <c r="F44" s="14">
        <f>SUMIFS(RATING_DATA!$E:$E,RATING_DATA!$A:$A,'2| Non-Default'!$C$3,RATING_DATA!$B:$B,'2| Non-Default'!$A44,RATING_DATA!$C:$C,'2| Non-Default'!$B44,RATING_DATA!$D:$D,'2| Non-Default'!F$11)</f>
        <v>0</v>
      </c>
      <c r="G44" s="14">
        <f>SUMIFS(RATING_DATA!$E:$E,RATING_DATA!$A:$A,'2| Non-Default'!$C$3,RATING_DATA!$B:$B,'2| Non-Default'!$A44,RATING_DATA!$C:$C,'2| Non-Default'!$B44,RATING_DATA!$D:$D,'2| Non-Default'!G$11)</f>
        <v>2</v>
      </c>
      <c r="H44" s="14">
        <f>SUMIFS(RATING_DATA!$E:$E,RATING_DATA!$A:$A,'2| Non-Default'!$C$3,RATING_DATA!$B:$B,'2| Non-Default'!$A44,RATING_DATA!$C:$C,'2| Non-Default'!$B44,RATING_DATA!$D:$D,'2| Non-Default'!H$11)</f>
        <v>1</v>
      </c>
      <c r="I44" s="14">
        <f>SUMIFS(RATING_DATA!$E:$E,RATING_DATA!$A:$A,'2| Non-Default'!$C$3,RATING_DATA!$B:$B,'2| Non-Default'!$A44,RATING_DATA!$C:$C,'2| Non-Default'!$B44,RATING_DATA!$D:$D,'2| Non-Default'!I$11)</f>
        <v>1</v>
      </c>
      <c r="J44" s="14">
        <f>SUMIFS(RATING_DATA!$E:$E,RATING_DATA!$A:$A,'2| Non-Default'!$C$3,RATING_DATA!$B:$B,'2| Non-Default'!$A44,RATING_DATA!$C:$C,'2| Non-Default'!$B44,RATING_DATA!$D:$D,'2| Non-Default'!J$11)</f>
        <v>1</v>
      </c>
      <c r="K44" s="50">
        <f t="shared" si="24"/>
        <v>5</v>
      </c>
      <c r="L44" s="50"/>
      <c r="M44" s="7" t="s">
        <v>8</v>
      </c>
      <c r="N44" s="13">
        <f t="shared" si="25"/>
        <v>0</v>
      </c>
      <c r="O44" s="13">
        <f t="shared" si="25"/>
        <v>0</v>
      </c>
      <c r="P44" s="13">
        <f t="shared" si="25"/>
        <v>0</v>
      </c>
      <c r="Q44" s="13">
        <f t="shared" si="25"/>
        <v>0</v>
      </c>
      <c r="R44" s="13">
        <f t="shared" si="25"/>
        <v>0.4</v>
      </c>
      <c r="S44" s="13">
        <f t="shared" si="25"/>
        <v>0.2</v>
      </c>
      <c r="T44" s="13">
        <f t="shared" si="25"/>
        <v>0.2</v>
      </c>
      <c r="U44" s="13">
        <f t="shared" si="25"/>
        <v>0.2</v>
      </c>
      <c r="W44" s="7" t="s">
        <v>8</v>
      </c>
      <c r="X44" s="15">
        <f>IFERROR(SUM(N44:$U44),"")</f>
        <v>1</v>
      </c>
      <c r="Y44" s="15">
        <f>IFERROR(SUM(O44:$U44),"")</f>
        <v>1</v>
      </c>
      <c r="Z44" s="15">
        <f>IFERROR(SUM(P44:$U44),"")</f>
        <v>1</v>
      </c>
      <c r="AA44" s="15">
        <f>IFERROR(SUM(Q44:$U44),"")</f>
        <v>1</v>
      </c>
      <c r="AB44" s="15">
        <f>IFERROR(SUM(R44:$U44),"")</f>
        <v>1</v>
      </c>
      <c r="AC44" s="15">
        <f>IFERROR(SUM(S44:$U44),"")</f>
        <v>0.60000000000000009</v>
      </c>
      <c r="AD44" s="15">
        <f>IFERROR(SUM(T44:$U44),"")</f>
        <v>0.4</v>
      </c>
      <c r="AE44" s="15">
        <f>IFERROR(SUM(U44:$U44),"")</f>
        <v>0.2</v>
      </c>
      <c r="AG44" s="7" t="s">
        <v>8</v>
      </c>
      <c r="AH44" s="15">
        <f t="shared" si="22"/>
        <v>1</v>
      </c>
      <c r="AI44" s="15">
        <f t="shared" si="22"/>
        <v>1</v>
      </c>
      <c r="AJ44" s="15">
        <f t="shared" si="22"/>
        <v>1</v>
      </c>
      <c r="AK44" s="15">
        <f t="shared" si="22"/>
        <v>1</v>
      </c>
      <c r="AL44" s="15">
        <f t="shared" si="22"/>
        <v>1</v>
      </c>
      <c r="AM44" s="15">
        <f t="shared" si="22"/>
        <v>0.5264642817121945</v>
      </c>
      <c r="AN44" s="15">
        <f t="shared" si="22"/>
        <v>0.33764343852472367</v>
      </c>
      <c r="AO44" s="15">
        <f t="shared" si="22"/>
        <v>0.16296995778212614</v>
      </c>
      <c r="AP44" s="51">
        <f t="shared" si="28"/>
        <v>0.61288125411290795</v>
      </c>
      <c r="AR44" s="7" t="s">
        <v>8</v>
      </c>
      <c r="AS44" s="15">
        <f t="shared" si="23"/>
        <v>0</v>
      </c>
      <c r="AT44" s="15">
        <f t="shared" si="23"/>
        <v>0</v>
      </c>
      <c r="AU44" s="15">
        <f t="shared" si="23"/>
        <v>0</v>
      </c>
      <c r="AV44" s="15">
        <f t="shared" si="23"/>
        <v>0</v>
      </c>
      <c r="AW44" s="15">
        <f t="shared" si="23"/>
        <v>0.4735357182878055</v>
      </c>
      <c r="AX44" s="15">
        <f t="shared" si="23"/>
        <v>0.18882084318747083</v>
      </c>
      <c r="AY44" s="15">
        <f t="shared" si="23"/>
        <v>0.17467348074259753</v>
      </c>
      <c r="AZ44" s="15">
        <f t="shared" si="23"/>
        <v>0.16296995778212614</v>
      </c>
      <c r="BA44" s="53">
        <f t="shared" si="26"/>
        <v>1</v>
      </c>
    </row>
    <row r="45" spans="1:53" x14ac:dyDescent="0.25">
      <c r="A45" s="10">
        <f t="shared" si="27"/>
        <v>2020</v>
      </c>
      <c r="B45" s="7" t="s">
        <v>9</v>
      </c>
      <c r="C45" s="14">
        <f>SUMIFS(RATING_DATA!$E:$E,RATING_DATA!$A:$A,'2| Non-Default'!$C$3,RATING_DATA!$B:$B,'2| Non-Default'!$A45,RATING_DATA!$C:$C,'2| Non-Default'!$B45,RATING_DATA!$D:$D,'2| Non-Default'!C$11)</f>
        <v>0</v>
      </c>
      <c r="D45" s="14">
        <f>SUMIFS(RATING_DATA!$E:$E,RATING_DATA!$A:$A,'2| Non-Default'!$C$3,RATING_DATA!$B:$B,'2| Non-Default'!$A45,RATING_DATA!$C:$C,'2| Non-Default'!$B45,RATING_DATA!$D:$D,'2| Non-Default'!D$11)</f>
        <v>0</v>
      </c>
      <c r="E45" s="14">
        <f>SUMIFS(RATING_DATA!$E:$E,RATING_DATA!$A:$A,'2| Non-Default'!$C$3,RATING_DATA!$B:$B,'2| Non-Default'!$A45,RATING_DATA!$C:$C,'2| Non-Default'!$B45,RATING_DATA!$D:$D,'2| Non-Default'!E$11)</f>
        <v>0</v>
      </c>
      <c r="F45" s="14">
        <f>SUMIFS(RATING_DATA!$E:$E,RATING_DATA!$A:$A,'2| Non-Default'!$C$3,RATING_DATA!$B:$B,'2| Non-Default'!$A45,RATING_DATA!$C:$C,'2| Non-Default'!$B45,RATING_DATA!$D:$D,'2| Non-Default'!F$11)</f>
        <v>2</v>
      </c>
      <c r="G45" s="14">
        <f>SUMIFS(RATING_DATA!$E:$E,RATING_DATA!$A:$A,'2| Non-Default'!$C$3,RATING_DATA!$B:$B,'2| Non-Default'!$A45,RATING_DATA!$C:$C,'2| Non-Default'!$B45,RATING_DATA!$D:$D,'2| Non-Default'!G$11)</f>
        <v>2</v>
      </c>
      <c r="H45" s="14">
        <f>SUMIFS(RATING_DATA!$E:$E,RATING_DATA!$A:$A,'2| Non-Default'!$C$3,RATING_DATA!$B:$B,'2| Non-Default'!$A45,RATING_DATA!$C:$C,'2| Non-Default'!$B45,RATING_DATA!$D:$D,'2| Non-Default'!H$11)</f>
        <v>8</v>
      </c>
      <c r="I45" s="14">
        <f>SUMIFS(RATING_DATA!$E:$E,RATING_DATA!$A:$A,'2| Non-Default'!$C$3,RATING_DATA!$B:$B,'2| Non-Default'!$A45,RATING_DATA!$C:$C,'2| Non-Default'!$B45,RATING_DATA!$D:$D,'2| Non-Default'!I$11)</f>
        <v>7</v>
      </c>
      <c r="J45" s="14">
        <f>SUMIFS(RATING_DATA!$E:$E,RATING_DATA!$A:$A,'2| Non-Default'!$C$3,RATING_DATA!$B:$B,'2| Non-Default'!$A45,RATING_DATA!$C:$C,'2| Non-Default'!$B45,RATING_DATA!$D:$D,'2| Non-Default'!J$11)</f>
        <v>1</v>
      </c>
      <c r="K45" s="50">
        <f t="shared" si="24"/>
        <v>20</v>
      </c>
      <c r="L45" s="50"/>
      <c r="M45" s="7" t="s">
        <v>9</v>
      </c>
      <c r="N45" s="13">
        <f t="shared" si="25"/>
        <v>0</v>
      </c>
      <c r="O45" s="13">
        <f t="shared" si="25"/>
        <v>0</v>
      </c>
      <c r="P45" s="13">
        <f t="shared" si="25"/>
        <v>0</v>
      </c>
      <c r="Q45" s="13">
        <f t="shared" si="25"/>
        <v>0.1</v>
      </c>
      <c r="R45" s="13">
        <f t="shared" si="25"/>
        <v>0.1</v>
      </c>
      <c r="S45" s="13">
        <f t="shared" si="25"/>
        <v>0.4</v>
      </c>
      <c r="T45" s="13">
        <f t="shared" si="25"/>
        <v>0.35</v>
      </c>
      <c r="U45" s="13">
        <f t="shared" si="25"/>
        <v>0.05</v>
      </c>
      <c r="W45" s="7" t="s">
        <v>9</v>
      </c>
      <c r="X45" s="15">
        <f>IFERROR(SUM(N45:$U45),"")</f>
        <v>1</v>
      </c>
      <c r="Y45" s="15">
        <f>IFERROR(SUM(O45:$U45),"")</f>
        <v>1</v>
      </c>
      <c r="Z45" s="15">
        <f>IFERROR(SUM(P45:$U45),"")</f>
        <v>1</v>
      </c>
      <c r="AA45" s="15">
        <f>IFERROR(SUM(Q45:$U45),"")</f>
        <v>1</v>
      </c>
      <c r="AB45" s="15">
        <f>IFERROR(SUM(R45:$U45),"")</f>
        <v>0.9</v>
      </c>
      <c r="AC45" s="15">
        <f>IFERROR(SUM(S45:$U45),"")</f>
        <v>0.8</v>
      </c>
      <c r="AD45" s="15">
        <f>IFERROR(SUM(T45:$U45),"")</f>
        <v>0.39999999999999997</v>
      </c>
      <c r="AE45" s="15">
        <f>IFERROR(SUM(U45:$U45),"")</f>
        <v>0.05</v>
      </c>
      <c r="AG45" s="7" t="s">
        <v>9</v>
      </c>
      <c r="AH45" s="15">
        <f t="shared" si="22"/>
        <v>1</v>
      </c>
      <c r="AI45" s="15">
        <f t="shared" si="22"/>
        <v>1</v>
      </c>
      <c r="AJ45" s="15">
        <f t="shared" si="22"/>
        <v>1</v>
      </c>
      <c r="AK45" s="15">
        <f t="shared" si="22"/>
        <v>1</v>
      </c>
      <c r="AL45" s="15">
        <f t="shared" si="22"/>
        <v>0.85340539072852539</v>
      </c>
      <c r="AM45" s="15">
        <f t="shared" si="22"/>
        <v>0.73558934824974831</v>
      </c>
      <c r="AN45" s="15">
        <f t="shared" si="22"/>
        <v>0.33764343852472362</v>
      </c>
      <c r="AO45" s="15">
        <f t="shared" si="22"/>
        <v>3.9919313796635332E-2</v>
      </c>
      <c r="AP45" s="51">
        <f t="shared" si="28"/>
        <v>0.61288125411290795</v>
      </c>
      <c r="AR45" s="7" t="s">
        <v>9</v>
      </c>
      <c r="AS45" s="15">
        <f t="shared" si="23"/>
        <v>0</v>
      </c>
      <c r="AT45" s="15">
        <f t="shared" si="23"/>
        <v>0</v>
      </c>
      <c r="AU45" s="15">
        <f t="shared" si="23"/>
        <v>0</v>
      </c>
      <c r="AV45" s="15">
        <f t="shared" si="23"/>
        <v>0.14659460927147461</v>
      </c>
      <c r="AW45" s="15">
        <f t="shared" si="23"/>
        <v>0.11781604247877708</v>
      </c>
      <c r="AX45" s="15">
        <f t="shared" si="23"/>
        <v>0.39794590972502469</v>
      </c>
      <c r="AY45" s="15">
        <f t="shared" si="23"/>
        <v>0.29772412472808829</v>
      </c>
      <c r="AZ45" s="15">
        <f t="shared" si="23"/>
        <v>3.9919313796635332E-2</v>
      </c>
      <c r="BA45" s="53">
        <f t="shared" si="26"/>
        <v>1</v>
      </c>
    </row>
    <row r="46" spans="1:53" x14ac:dyDescent="0.25">
      <c r="A46" s="10">
        <f t="shared" si="27"/>
        <v>2020</v>
      </c>
      <c r="B46" s="7" t="s">
        <v>10</v>
      </c>
      <c r="C46" s="14">
        <f>SUMIFS(RATING_DATA!$E:$E,RATING_DATA!$A:$A,'2| Non-Default'!$C$3,RATING_DATA!$B:$B,'2| Non-Default'!$A46,RATING_DATA!$C:$C,'2| Non-Default'!$B46,RATING_DATA!$D:$D,'2| Non-Default'!C$11)</f>
        <v>0</v>
      </c>
      <c r="D46" s="14">
        <f>SUMIFS(RATING_DATA!$E:$E,RATING_DATA!$A:$A,'2| Non-Default'!$C$3,RATING_DATA!$B:$B,'2| Non-Default'!$A46,RATING_DATA!$C:$C,'2| Non-Default'!$B46,RATING_DATA!$D:$D,'2| Non-Default'!D$11)</f>
        <v>0</v>
      </c>
      <c r="E46" s="14">
        <f>SUMIFS(RATING_DATA!$E:$E,RATING_DATA!$A:$A,'2| Non-Default'!$C$3,RATING_DATA!$B:$B,'2| Non-Default'!$A46,RATING_DATA!$C:$C,'2| Non-Default'!$B46,RATING_DATA!$D:$D,'2| Non-Default'!E$11)</f>
        <v>0</v>
      </c>
      <c r="F46" s="14">
        <f>SUMIFS(RATING_DATA!$E:$E,RATING_DATA!$A:$A,'2| Non-Default'!$C$3,RATING_DATA!$B:$B,'2| Non-Default'!$A46,RATING_DATA!$C:$C,'2| Non-Default'!$B46,RATING_DATA!$D:$D,'2| Non-Default'!F$11)</f>
        <v>0</v>
      </c>
      <c r="G46" s="14">
        <f>SUMIFS(RATING_DATA!$E:$E,RATING_DATA!$A:$A,'2| Non-Default'!$C$3,RATING_DATA!$B:$B,'2| Non-Default'!$A46,RATING_DATA!$C:$C,'2| Non-Default'!$B46,RATING_DATA!$D:$D,'2| Non-Default'!G$11)</f>
        <v>1</v>
      </c>
      <c r="H46" s="14">
        <f>SUMIFS(RATING_DATA!$E:$E,RATING_DATA!$A:$A,'2| Non-Default'!$C$3,RATING_DATA!$B:$B,'2| Non-Default'!$A46,RATING_DATA!$C:$C,'2| Non-Default'!$B46,RATING_DATA!$D:$D,'2| Non-Default'!H$11)</f>
        <v>2</v>
      </c>
      <c r="I46" s="14">
        <f>SUMIFS(RATING_DATA!$E:$E,RATING_DATA!$A:$A,'2| Non-Default'!$C$3,RATING_DATA!$B:$B,'2| Non-Default'!$A46,RATING_DATA!$C:$C,'2| Non-Default'!$B46,RATING_DATA!$D:$D,'2| Non-Default'!I$11)</f>
        <v>2</v>
      </c>
      <c r="J46" s="14">
        <f>SUMIFS(RATING_DATA!$E:$E,RATING_DATA!$A:$A,'2| Non-Default'!$C$3,RATING_DATA!$B:$B,'2| Non-Default'!$A46,RATING_DATA!$C:$C,'2| Non-Default'!$B46,RATING_DATA!$D:$D,'2| Non-Default'!J$11)</f>
        <v>3</v>
      </c>
      <c r="K46" s="50">
        <f t="shared" si="24"/>
        <v>8</v>
      </c>
      <c r="L46" s="50"/>
      <c r="M46" s="7" t="s">
        <v>10</v>
      </c>
      <c r="N46" s="13">
        <f t="shared" si="25"/>
        <v>0</v>
      </c>
      <c r="O46" s="13">
        <f t="shared" si="25"/>
        <v>0</v>
      </c>
      <c r="P46" s="13">
        <f t="shared" si="25"/>
        <v>0</v>
      </c>
      <c r="Q46" s="13">
        <f t="shared" si="25"/>
        <v>0</v>
      </c>
      <c r="R46" s="13">
        <f t="shared" si="25"/>
        <v>0.125</v>
      </c>
      <c r="S46" s="13">
        <f t="shared" si="25"/>
        <v>0.25</v>
      </c>
      <c r="T46" s="13">
        <f t="shared" si="25"/>
        <v>0.25</v>
      </c>
      <c r="U46" s="13">
        <f t="shared" si="25"/>
        <v>0.375</v>
      </c>
      <c r="W46" s="7" t="s">
        <v>10</v>
      </c>
      <c r="X46" s="15">
        <f>IFERROR(SUM(N46:$U46),"")</f>
        <v>1</v>
      </c>
      <c r="Y46" s="15">
        <f>IFERROR(SUM(O46:$U46),"")</f>
        <v>1</v>
      </c>
      <c r="Z46" s="15">
        <f>IFERROR(SUM(P46:$U46),"")</f>
        <v>1</v>
      </c>
      <c r="AA46" s="15">
        <f>IFERROR(SUM(Q46:$U46),"")</f>
        <v>1</v>
      </c>
      <c r="AB46" s="15">
        <f>IFERROR(SUM(R46:$U46),"")</f>
        <v>1</v>
      </c>
      <c r="AC46" s="15">
        <f>IFERROR(SUM(S46:$U46),"")</f>
        <v>0.875</v>
      </c>
      <c r="AD46" s="15">
        <f>IFERROR(SUM(T46:$U46),"")</f>
        <v>0.625</v>
      </c>
      <c r="AE46" s="15">
        <f>IFERROR(SUM(U46:$U46),"")</f>
        <v>0.375</v>
      </c>
      <c r="AG46" s="7" t="s">
        <v>10</v>
      </c>
      <c r="AH46" s="15">
        <f t="shared" si="22"/>
        <v>1</v>
      </c>
      <c r="AI46" s="15">
        <f t="shared" si="22"/>
        <v>1</v>
      </c>
      <c r="AJ46" s="15">
        <f t="shared" si="22"/>
        <v>1</v>
      </c>
      <c r="AK46" s="15">
        <f t="shared" si="22"/>
        <v>1</v>
      </c>
      <c r="AL46" s="15">
        <f t="shared" si="22"/>
        <v>1</v>
      </c>
      <c r="AM46" s="15">
        <f t="shared" si="22"/>
        <v>0.82264490823250458</v>
      </c>
      <c r="AN46" s="15">
        <f t="shared" si="22"/>
        <v>0.55128901870238345</v>
      </c>
      <c r="AO46" s="15">
        <f t="shared" si="22"/>
        <v>0.31510294431023805</v>
      </c>
      <c r="AP46" s="51">
        <f t="shared" si="28"/>
        <v>0.61288125411290795</v>
      </c>
      <c r="AR46" s="7" t="s">
        <v>10</v>
      </c>
      <c r="AS46" s="15">
        <f t="shared" si="23"/>
        <v>0</v>
      </c>
      <c r="AT46" s="15">
        <f t="shared" si="23"/>
        <v>0</v>
      </c>
      <c r="AU46" s="15">
        <f t="shared" si="23"/>
        <v>0</v>
      </c>
      <c r="AV46" s="15">
        <f t="shared" si="23"/>
        <v>0</v>
      </c>
      <c r="AW46" s="15">
        <f t="shared" si="23"/>
        <v>0.17735509176749542</v>
      </c>
      <c r="AX46" s="15">
        <f t="shared" si="23"/>
        <v>0.27135588953012113</v>
      </c>
      <c r="AY46" s="15">
        <f t="shared" si="23"/>
        <v>0.2361860743921454</v>
      </c>
      <c r="AZ46" s="15">
        <f t="shared" si="23"/>
        <v>0.31510294431023805</v>
      </c>
      <c r="BA46" s="53">
        <f t="shared" si="26"/>
        <v>1</v>
      </c>
    </row>
    <row r="47" spans="1:53" x14ac:dyDescent="0.25">
      <c r="A47" s="10">
        <f t="shared" si="27"/>
        <v>2020</v>
      </c>
      <c r="B47" s="7" t="s">
        <v>11</v>
      </c>
      <c r="C47" s="14">
        <f>SUMIFS(RATING_DATA!$E:$E,RATING_DATA!$A:$A,'2| Non-Default'!$C$3,RATING_DATA!$B:$B,'2| Non-Default'!$A47,RATING_DATA!$C:$C,'2| Non-Default'!$B47,RATING_DATA!$D:$D,'2| Non-Default'!C$11)</f>
        <v>0</v>
      </c>
      <c r="D47" s="14">
        <f>SUMIFS(RATING_DATA!$E:$E,RATING_DATA!$A:$A,'2| Non-Default'!$C$3,RATING_DATA!$B:$B,'2| Non-Default'!$A47,RATING_DATA!$C:$C,'2| Non-Default'!$B47,RATING_DATA!$D:$D,'2| Non-Default'!D$11)</f>
        <v>0</v>
      </c>
      <c r="E47" s="14">
        <f>SUMIFS(RATING_DATA!$E:$E,RATING_DATA!$A:$A,'2| Non-Default'!$C$3,RATING_DATA!$B:$B,'2| Non-Default'!$A47,RATING_DATA!$C:$C,'2| Non-Default'!$B47,RATING_DATA!$D:$D,'2| Non-Default'!E$11)</f>
        <v>0</v>
      </c>
      <c r="F47" s="14">
        <f>SUMIFS(RATING_DATA!$E:$E,RATING_DATA!$A:$A,'2| Non-Default'!$C$3,RATING_DATA!$B:$B,'2| Non-Default'!$A47,RATING_DATA!$C:$C,'2| Non-Default'!$B47,RATING_DATA!$D:$D,'2| Non-Default'!F$11)</f>
        <v>0</v>
      </c>
      <c r="G47" s="14">
        <f>SUMIFS(RATING_DATA!$E:$E,RATING_DATA!$A:$A,'2| Non-Default'!$C$3,RATING_DATA!$B:$B,'2| Non-Default'!$A47,RATING_DATA!$C:$C,'2| Non-Default'!$B47,RATING_DATA!$D:$D,'2| Non-Default'!G$11)</f>
        <v>2</v>
      </c>
      <c r="H47" s="14">
        <f>SUMIFS(RATING_DATA!$E:$E,RATING_DATA!$A:$A,'2| Non-Default'!$C$3,RATING_DATA!$B:$B,'2| Non-Default'!$A47,RATING_DATA!$C:$C,'2| Non-Default'!$B47,RATING_DATA!$D:$D,'2| Non-Default'!H$11)</f>
        <v>2</v>
      </c>
      <c r="I47" s="14">
        <f>SUMIFS(RATING_DATA!$E:$E,RATING_DATA!$A:$A,'2| Non-Default'!$C$3,RATING_DATA!$B:$B,'2| Non-Default'!$A47,RATING_DATA!$C:$C,'2| Non-Default'!$B47,RATING_DATA!$D:$D,'2| Non-Default'!I$11)</f>
        <v>4</v>
      </c>
      <c r="J47" s="14">
        <f>SUMIFS(RATING_DATA!$E:$E,RATING_DATA!$A:$A,'2| Non-Default'!$C$3,RATING_DATA!$B:$B,'2| Non-Default'!$A47,RATING_DATA!$C:$C,'2| Non-Default'!$B47,RATING_DATA!$D:$D,'2| Non-Default'!J$11)</f>
        <v>8</v>
      </c>
      <c r="K47" s="50">
        <f t="shared" si="24"/>
        <v>16</v>
      </c>
      <c r="L47" s="50"/>
      <c r="M47" s="7" t="s">
        <v>11</v>
      </c>
      <c r="N47" s="13">
        <f t="shared" si="25"/>
        <v>0</v>
      </c>
      <c r="O47" s="13">
        <f t="shared" si="25"/>
        <v>0</v>
      </c>
      <c r="P47" s="13">
        <f t="shared" si="25"/>
        <v>0</v>
      </c>
      <c r="Q47" s="13">
        <f t="shared" si="25"/>
        <v>0</v>
      </c>
      <c r="R47" s="13">
        <f t="shared" si="25"/>
        <v>0.125</v>
      </c>
      <c r="S47" s="13">
        <f t="shared" si="25"/>
        <v>0.125</v>
      </c>
      <c r="T47" s="13">
        <f t="shared" si="25"/>
        <v>0.25</v>
      </c>
      <c r="U47" s="13">
        <f t="shared" si="25"/>
        <v>0.5</v>
      </c>
      <c r="W47" s="7" t="s">
        <v>11</v>
      </c>
      <c r="X47" s="15">
        <f>IFERROR(SUM(N47:$U47),"")</f>
        <v>1</v>
      </c>
      <c r="Y47" s="15">
        <f>IFERROR(SUM(O47:$U47),"")</f>
        <v>1</v>
      </c>
      <c r="Z47" s="15">
        <f>IFERROR(SUM(P47:$U47),"")</f>
        <v>1</v>
      </c>
      <c r="AA47" s="15">
        <f>IFERROR(SUM(Q47:$U47),"")</f>
        <v>1</v>
      </c>
      <c r="AB47" s="15">
        <f>IFERROR(SUM(R47:$U47),"")</f>
        <v>1</v>
      </c>
      <c r="AC47" s="15">
        <f>IFERROR(SUM(S47:$U47),"")</f>
        <v>0.875</v>
      </c>
      <c r="AD47" s="15">
        <f>IFERROR(SUM(T47:$U47),"")</f>
        <v>0.75</v>
      </c>
      <c r="AE47" s="15">
        <f>IFERROR(SUM(U47:$U47),"")</f>
        <v>0.5</v>
      </c>
      <c r="AG47" s="7" t="s">
        <v>11</v>
      </c>
      <c r="AH47" s="15">
        <f t="shared" si="22"/>
        <v>1</v>
      </c>
      <c r="AI47" s="15">
        <f t="shared" si="22"/>
        <v>1</v>
      </c>
      <c r="AJ47" s="15">
        <f t="shared" si="22"/>
        <v>1</v>
      </c>
      <c r="AK47" s="15">
        <f t="shared" si="22"/>
        <v>1</v>
      </c>
      <c r="AL47" s="15">
        <f t="shared" si="22"/>
        <v>1</v>
      </c>
      <c r="AM47" s="15">
        <f t="shared" si="22"/>
        <v>0.82264490823250458</v>
      </c>
      <c r="AN47" s="15">
        <f t="shared" si="22"/>
        <v>0.68072803547123195</v>
      </c>
      <c r="AO47" s="15">
        <f t="shared" si="22"/>
        <v>0.43004516515825808</v>
      </c>
      <c r="AP47" s="51">
        <f t="shared" si="28"/>
        <v>0.61288125411290795</v>
      </c>
      <c r="AR47" s="7" t="s">
        <v>11</v>
      </c>
      <c r="AS47" s="15">
        <f t="shared" si="23"/>
        <v>0</v>
      </c>
      <c r="AT47" s="15">
        <f t="shared" si="23"/>
        <v>0</v>
      </c>
      <c r="AU47" s="15">
        <f t="shared" si="23"/>
        <v>0</v>
      </c>
      <c r="AV47" s="15">
        <f t="shared" si="23"/>
        <v>0</v>
      </c>
      <c r="AW47" s="15">
        <f t="shared" si="23"/>
        <v>0.17735509176749542</v>
      </c>
      <c r="AX47" s="15">
        <f t="shared" si="23"/>
        <v>0.14191687276127263</v>
      </c>
      <c r="AY47" s="15">
        <f t="shared" si="23"/>
        <v>0.25068287031297387</v>
      </c>
      <c r="AZ47" s="15">
        <f t="shared" si="23"/>
        <v>0.43004516515825808</v>
      </c>
      <c r="BA47" s="53">
        <f t="shared" si="26"/>
        <v>1</v>
      </c>
    </row>
    <row r="49" spans="1:53" x14ac:dyDescent="0.25">
      <c r="B49" s="5" t="s">
        <v>1</v>
      </c>
      <c r="C49" s="5" t="s">
        <v>2</v>
      </c>
      <c r="M49" s="5" t="s">
        <v>1</v>
      </c>
      <c r="N49" s="5" t="s">
        <v>2</v>
      </c>
      <c r="W49" s="5" t="s">
        <v>1</v>
      </c>
      <c r="X49" s="5" t="s">
        <v>2</v>
      </c>
      <c r="AG49" s="5" t="s">
        <v>1</v>
      </c>
      <c r="AH49" s="5" t="s">
        <v>2</v>
      </c>
      <c r="AJ49" s="16" t="s">
        <v>18</v>
      </c>
      <c r="AR49" s="5" t="s">
        <v>1</v>
      </c>
      <c r="AS49" s="5" t="s">
        <v>2</v>
      </c>
    </row>
    <row r="50" spans="1:53" x14ac:dyDescent="0.25">
      <c r="B50" s="6">
        <f>B36+1</f>
        <v>2021</v>
      </c>
      <c r="C50" s="6">
        <f>B50+1</f>
        <v>2022</v>
      </c>
      <c r="M50" s="6">
        <f>B50</f>
        <v>2021</v>
      </c>
      <c r="N50" s="6">
        <f>M50+1</f>
        <v>2022</v>
      </c>
      <c r="W50" s="6">
        <f>M50</f>
        <v>2021</v>
      </c>
      <c r="X50" s="6">
        <f>W50+1</f>
        <v>2022</v>
      </c>
      <c r="AG50" s="6">
        <f>W50</f>
        <v>2021</v>
      </c>
      <c r="AH50" s="6">
        <f>AG50+1</f>
        <v>2022</v>
      </c>
      <c r="AJ50" s="18">
        <f>VLOOKUP($AG50,'1| Parameter'!$B$15:$E$20,4,FALSE)</f>
        <v>-0.3478607004562066</v>
      </c>
      <c r="AR50" s="6">
        <f>AG50</f>
        <v>2021</v>
      </c>
      <c r="AS50" s="6">
        <f>AR50+1</f>
        <v>2022</v>
      </c>
    </row>
    <row r="52" spans="1:53" x14ac:dyDescent="0.25">
      <c r="C52" s="11">
        <v>1</v>
      </c>
      <c r="D52" s="11">
        <v>2</v>
      </c>
      <c r="E52" s="11">
        <v>3</v>
      </c>
      <c r="F52" s="11">
        <v>4</v>
      </c>
      <c r="G52" s="11">
        <v>5</v>
      </c>
      <c r="H52" s="11">
        <v>6</v>
      </c>
      <c r="I52" s="11">
        <v>7</v>
      </c>
      <c r="J52" s="11">
        <v>8</v>
      </c>
      <c r="N52" s="11">
        <v>1</v>
      </c>
      <c r="O52" s="11">
        <v>2</v>
      </c>
      <c r="P52" s="11">
        <v>3</v>
      </c>
      <c r="Q52" s="11">
        <v>4</v>
      </c>
      <c r="R52" s="11">
        <v>5</v>
      </c>
      <c r="S52" s="11">
        <v>6</v>
      </c>
      <c r="T52" s="11">
        <v>7</v>
      </c>
      <c r="U52" s="11">
        <v>8</v>
      </c>
      <c r="X52" s="11">
        <v>1</v>
      </c>
      <c r="Y52" s="11">
        <v>2</v>
      </c>
      <c r="Z52" s="11">
        <v>3</v>
      </c>
      <c r="AA52" s="11">
        <v>4</v>
      </c>
      <c r="AB52" s="11">
        <v>5</v>
      </c>
      <c r="AC52" s="11">
        <v>6</v>
      </c>
      <c r="AD52" s="11">
        <v>7</v>
      </c>
      <c r="AE52" s="11">
        <v>8</v>
      </c>
      <c r="AH52" s="11">
        <v>1</v>
      </c>
      <c r="AI52" s="11">
        <v>2</v>
      </c>
      <c r="AJ52" s="11">
        <v>3</v>
      </c>
      <c r="AK52" s="11">
        <v>4</v>
      </c>
      <c r="AL52" s="11">
        <v>5</v>
      </c>
      <c r="AM52" s="11">
        <v>6</v>
      </c>
      <c r="AN52" s="11">
        <v>7</v>
      </c>
      <c r="AO52" s="11">
        <v>8</v>
      </c>
      <c r="AS52" s="11">
        <v>1</v>
      </c>
      <c r="AT52" s="11">
        <v>2</v>
      </c>
      <c r="AU52" s="11">
        <v>3</v>
      </c>
      <c r="AV52" s="11">
        <v>4</v>
      </c>
      <c r="AW52" s="11">
        <v>5</v>
      </c>
      <c r="AX52" s="11">
        <v>6</v>
      </c>
      <c r="AY52" s="11">
        <v>7</v>
      </c>
      <c r="AZ52" s="11">
        <v>8</v>
      </c>
    </row>
    <row r="53" spans="1:53" x14ac:dyDescent="0.25">
      <c r="B53" s="8" t="s">
        <v>12</v>
      </c>
      <c r="C53" s="9" t="s">
        <v>3</v>
      </c>
      <c r="D53" s="9" t="s">
        <v>5</v>
      </c>
      <c r="E53" s="9" t="s">
        <v>6</v>
      </c>
      <c r="F53" s="9" t="s">
        <v>7</v>
      </c>
      <c r="G53" s="9" t="s">
        <v>8</v>
      </c>
      <c r="H53" s="9" t="s">
        <v>9</v>
      </c>
      <c r="I53" s="9" t="s">
        <v>10</v>
      </c>
      <c r="J53" s="9" t="s">
        <v>11</v>
      </c>
      <c r="K53" s="11" t="s">
        <v>22</v>
      </c>
      <c r="L53" s="11"/>
      <c r="M53" s="8" t="s">
        <v>12</v>
      </c>
      <c r="N53" s="9" t="s">
        <v>3</v>
      </c>
      <c r="O53" s="9" t="s">
        <v>5</v>
      </c>
      <c r="P53" s="9" t="s">
        <v>6</v>
      </c>
      <c r="Q53" s="9" t="s">
        <v>7</v>
      </c>
      <c r="R53" s="9" t="s">
        <v>8</v>
      </c>
      <c r="S53" s="9" t="s">
        <v>9</v>
      </c>
      <c r="T53" s="9" t="s">
        <v>10</v>
      </c>
      <c r="U53" s="9" t="s">
        <v>11</v>
      </c>
      <c r="W53" s="8" t="s">
        <v>12</v>
      </c>
      <c r="X53" s="9" t="s">
        <v>3</v>
      </c>
      <c r="Y53" s="9" t="s">
        <v>5</v>
      </c>
      <c r="Z53" s="9" t="s">
        <v>6</v>
      </c>
      <c r="AA53" s="9" t="s">
        <v>7</v>
      </c>
      <c r="AB53" s="9" t="s">
        <v>8</v>
      </c>
      <c r="AC53" s="9" t="s">
        <v>9</v>
      </c>
      <c r="AD53" s="9" t="s">
        <v>10</v>
      </c>
      <c r="AE53" s="9" t="s">
        <v>11</v>
      </c>
      <c r="AG53" s="8" t="s">
        <v>12</v>
      </c>
      <c r="AH53" s="9" t="s">
        <v>3</v>
      </c>
      <c r="AI53" s="9" t="s">
        <v>5</v>
      </c>
      <c r="AJ53" s="9" t="s">
        <v>6</v>
      </c>
      <c r="AK53" s="9" t="s">
        <v>7</v>
      </c>
      <c r="AL53" s="9" t="s">
        <v>8</v>
      </c>
      <c r="AM53" s="9" t="s">
        <v>9</v>
      </c>
      <c r="AN53" s="9" t="s">
        <v>10</v>
      </c>
      <c r="AO53" s="9" t="s">
        <v>11</v>
      </c>
      <c r="AP53" s="11" t="s">
        <v>18</v>
      </c>
      <c r="AR53" s="8" t="s">
        <v>12</v>
      </c>
      <c r="AS53" s="9" t="s">
        <v>3</v>
      </c>
      <c r="AT53" s="9" t="s">
        <v>5</v>
      </c>
      <c r="AU53" s="9" t="s">
        <v>6</v>
      </c>
      <c r="AV53" s="9" t="s">
        <v>7</v>
      </c>
      <c r="AW53" s="9" t="s">
        <v>8</v>
      </c>
      <c r="AX53" s="9" t="s">
        <v>9</v>
      </c>
      <c r="AY53" s="9" t="s">
        <v>10</v>
      </c>
      <c r="AZ53" s="9" t="s">
        <v>11</v>
      </c>
    </row>
    <row r="54" spans="1:53" x14ac:dyDescent="0.25">
      <c r="A54" s="10">
        <f>B50</f>
        <v>2021</v>
      </c>
      <c r="B54" s="7" t="s">
        <v>3</v>
      </c>
      <c r="C54" s="14">
        <f>SUMIFS(RATING_DATA!$E:$E,RATING_DATA!$A:$A,'2| Non-Default'!$C$3,RATING_DATA!$B:$B,'2| Non-Default'!$A54,RATING_DATA!$C:$C,'2| Non-Default'!$B54,RATING_DATA!$D:$D,'2| Non-Default'!C$11)</f>
        <v>0</v>
      </c>
      <c r="D54" s="14">
        <f>SUMIFS(RATING_DATA!$E:$E,RATING_DATA!$A:$A,'2| Non-Default'!$C$3,RATING_DATA!$B:$B,'2| Non-Default'!$A54,RATING_DATA!$C:$C,'2| Non-Default'!$B54,RATING_DATA!$D:$D,'2| Non-Default'!D$11)</f>
        <v>0</v>
      </c>
      <c r="E54" s="14">
        <f>SUMIFS(RATING_DATA!$E:$E,RATING_DATA!$A:$A,'2| Non-Default'!$C$3,RATING_DATA!$B:$B,'2| Non-Default'!$A54,RATING_DATA!$C:$C,'2| Non-Default'!$B54,RATING_DATA!$D:$D,'2| Non-Default'!E$11)</f>
        <v>0</v>
      </c>
      <c r="F54" s="14">
        <f>SUMIFS(RATING_DATA!$E:$E,RATING_DATA!$A:$A,'2| Non-Default'!$C$3,RATING_DATA!$B:$B,'2| Non-Default'!$A54,RATING_DATA!$C:$C,'2| Non-Default'!$B54,RATING_DATA!$D:$D,'2| Non-Default'!F$11)</f>
        <v>0</v>
      </c>
      <c r="G54" s="14">
        <f>SUMIFS(RATING_DATA!$E:$E,RATING_DATA!$A:$A,'2| Non-Default'!$C$3,RATING_DATA!$B:$B,'2| Non-Default'!$A54,RATING_DATA!$C:$C,'2| Non-Default'!$B54,RATING_DATA!$D:$D,'2| Non-Default'!G$11)</f>
        <v>0</v>
      </c>
      <c r="H54" s="14">
        <f>SUMIFS(RATING_DATA!$E:$E,RATING_DATA!$A:$A,'2| Non-Default'!$C$3,RATING_DATA!$B:$B,'2| Non-Default'!$A54,RATING_DATA!$C:$C,'2| Non-Default'!$B54,RATING_DATA!$D:$D,'2| Non-Default'!H$11)</f>
        <v>0</v>
      </c>
      <c r="I54" s="14">
        <f>SUMIFS(RATING_DATA!$E:$E,RATING_DATA!$A:$A,'2| Non-Default'!$C$3,RATING_DATA!$B:$B,'2| Non-Default'!$A54,RATING_DATA!$C:$C,'2| Non-Default'!$B54,RATING_DATA!$D:$D,'2| Non-Default'!I$11)</f>
        <v>0</v>
      </c>
      <c r="J54" s="14">
        <f>SUMIFS(RATING_DATA!$E:$E,RATING_DATA!$A:$A,'2| Non-Default'!$C$3,RATING_DATA!$B:$B,'2| Non-Default'!$A54,RATING_DATA!$C:$C,'2| Non-Default'!$B54,RATING_DATA!$D:$D,'2| Non-Default'!J$11)</f>
        <v>0</v>
      </c>
      <c r="K54" s="50">
        <f>SUM(C54:J54)</f>
        <v>0</v>
      </c>
      <c r="L54" s="50"/>
      <c r="M54" s="7" t="s">
        <v>3</v>
      </c>
      <c r="N54" s="13" t="str">
        <f t="shared" ref="N54:U54" si="29">IFERROR(C54/$K54,"")</f>
        <v/>
      </c>
      <c r="O54" s="13" t="str">
        <f t="shared" si="29"/>
        <v/>
      </c>
      <c r="P54" s="13" t="str">
        <f t="shared" si="29"/>
        <v/>
      </c>
      <c r="Q54" s="13" t="str">
        <f t="shared" si="29"/>
        <v/>
      </c>
      <c r="R54" s="13" t="str">
        <f t="shared" si="29"/>
        <v/>
      </c>
      <c r="S54" s="13" t="str">
        <f t="shared" si="29"/>
        <v/>
      </c>
      <c r="T54" s="13" t="str">
        <f t="shared" si="29"/>
        <v/>
      </c>
      <c r="U54" s="13" t="str">
        <f t="shared" si="29"/>
        <v/>
      </c>
      <c r="W54" s="7" t="s">
        <v>3</v>
      </c>
      <c r="X54" s="15">
        <f>IFERROR(SUM(N54:$U54),"")</f>
        <v>0</v>
      </c>
      <c r="Y54" s="15">
        <f>IFERROR(SUM(O54:$U54),"")</f>
        <v>0</v>
      </c>
      <c r="Z54" s="15">
        <f>IFERROR(SUM(P54:$U54),"")</f>
        <v>0</v>
      </c>
      <c r="AA54" s="15">
        <f>IFERROR(SUM(Q54:$U54),"")</f>
        <v>0</v>
      </c>
      <c r="AB54" s="15">
        <f>IFERROR(SUM(R54:$U54),"")</f>
        <v>0</v>
      </c>
      <c r="AC54" s="15">
        <f>IFERROR(SUM(S54:$U54),"")</f>
        <v>0</v>
      </c>
      <c r="AD54" s="15">
        <f>IFERROR(SUM(T54:$U54),"")</f>
        <v>0</v>
      </c>
      <c r="AE54" s="15">
        <f>IFERROR(SUM(U54:$U54),"")</f>
        <v>0</v>
      </c>
      <c r="AG54" s="7" t="s">
        <v>3</v>
      </c>
      <c r="AH54" s="15">
        <f t="shared" ref="AH54:AO61" si="30">IF(X54=1,1,IF(X54=0,0,NORMSDIST(NORMSINV(X54)*(SQRT(1-$F$3))-SQRT($F$3)*$AP54)))</f>
        <v>0</v>
      </c>
      <c r="AI54" s="15">
        <f t="shared" si="30"/>
        <v>0</v>
      </c>
      <c r="AJ54" s="15">
        <f t="shared" si="30"/>
        <v>0</v>
      </c>
      <c r="AK54" s="15">
        <f t="shared" si="30"/>
        <v>0</v>
      </c>
      <c r="AL54" s="15">
        <f t="shared" si="30"/>
        <v>0</v>
      </c>
      <c r="AM54" s="15">
        <f t="shared" si="30"/>
        <v>0</v>
      </c>
      <c r="AN54" s="15">
        <f t="shared" si="30"/>
        <v>0</v>
      </c>
      <c r="AO54" s="15">
        <f t="shared" si="30"/>
        <v>0</v>
      </c>
      <c r="AP54" s="51">
        <f>AJ50</f>
        <v>-0.3478607004562066</v>
      </c>
      <c r="AR54" s="7" t="s">
        <v>3</v>
      </c>
      <c r="AS54" s="15">
        <f t="shared" ref="AS54:AZ61" si="31">IF(AS$10&lt;&gt;MAX($AS$10:$AZ$10),IFERROR(AH54-AI54,""),AH54)</f>
        <v>0</v>
      </c>
      <c r="AT54" s="15">
        <f t="shared" si="31"/>
        <v>0</v>
      </c>
      <c r="AU54" s="15">
        <f t="shared" si="31"/>
        <v>0</v>
      </c>
      <c r="AV54" s="15">
        <f t="shared" si="31"/>
        <v>0</v>
      </c>
      <c r="AW54" s="15">
        <f t="shared" si="31"/>
        <v>0</v>
      </c>
      <c r="AX54" s="15">
        <f t="shared" si="31"/>
        <v>0</v>
      </c>
      <c r="AY54" s="15">
        <f t="shared" si="31"/>
        <v>0</v>
      </c>
      <c r="AZ54" s="15">
        <f t="shared" si="31"/>
        <v>0</v>
      </c>
      <c r="BA54" s="53">
        <f>SUM(AS54:AZ54)</f>
        <v>0</v>
      </c>
    </row>
    <row r="55" spans="1:53" x14ac:dyDescent="0.25">
      <c r="A55" s="10">
        <f>A54</f>
        <v>2021</v>
      </c>
      <c r="B55" s="7" t="s">
        <v>5</v>
      </c>
      <c r="C55" s="14">
        <f>SUMIFS(RATING_DATA!$E:$E,RATING_DATA!$A:$A,'2| Non-Default'!$C$3,RATING_DATA!$B:$B,'2| Non-Default'!$A55,RATING_DATA!$C:$C,'2| Non-Default'!$B55,RATING_DATA!$D:$D,'2| Non-Default'!C$11)</f>
        <v>0</v>
      </c>
      <c r="D55" s="14">
        <f>SUMIFS(RATING_DATA!$E:$E,RATING_DATA!$A:$A,'2| Non-Default'!$C$3,RATING_DATA!$B:$B,'2| Non-Default'!$A55,RATING_DATA!$C:$C,'2| Non-Default'!$B55,RATING_DATA!$D:$D,'2| Non-Default'!D$11)</f>
        <v>1</v>
      </c>
      <c r="E55" s="14">
        <f>SUMIFS(RATING_DATA!$E:$E,RATING_DATA!$A:$A,'2| Non-Default'!$C$3,RATING_DATA!$B:$B,'2| Non-Default'!$A55,RATING_DATA!$C:$C,'2| Non-Default'!$B55,RATING_DATA!$D:$D,'2| Non-Default'!E$11)</f>
        <v>0</v>
      </c>
      <c r="F55" s="14">
        <f>SUMIFS(RATING_DATA!$E:$E,RATING_DATA!$A:$A,'2| Non-Default'!$C$3,RATING_DATA!$B:$B,'2| Non-Default'!$A55,RATING_DATA!$C:$C,'2| Non-Default'!$B55,RATING_DATA!$D:$D,'2| Non-Default'!F$11)</f>
        <v>1</v>
      </c>
      <c r="G55" s="14">
        <f>SUMIFS(RATING_DATA!$E:$E,RATING_DATA!$A:$A,'2| Non-Default'!$C$3,RATING_DATA!$B:$B,'2| Non-Default'!$A55,RATING_DATA!$C:$C,'2| Non-Default'!$B55,RATING_DATA!$D:$D,'2| Non-Default'!G$11)</f>
        <v>1</v>
      </c>
      <c r="H55" s="14">
        <f>SUMIFS(RATING_DATA!$E:$E,RATING_DATA!$A:$A,'2| Non-Default'!$C$3,RATING_DATA!$B:$B,'2| Non-Default'!$A55,RATING_DATA!$C:$C,'2| Non-Default'!$B55,RATING_DATA!$D:$D,'2| Non-Default'!H$11)</f>
        <v>0</v>
      </c>
      <c r="I55" s="14">
        <f>SUMIFS(RATING_DATA!$E:$E,RATING_DATA!$A:$A,'2| Non-Default'!$C$3,RATING_DATA!$B:$B,'2| Non-Default'!$A55,RATING_DATA!$C:$C,'2| Non-Default'!$B55,RATING_DATA!$D:$D,'2| Non-Default'!I$11)</f>
        <v>0</v>
      </c>
      <c r="J55" s="14">
        <f>SUMIFS(RATING_DATA!$E:$E,RATING_DATA!$A:$A,'2| Non-Default'!$C$3,RATING_DATA!$B:$B,'2| Non-Default'!$A55,RATING_DATA!$C:$C,'2| Non-Default'!$B55,RATING_DATA!$D:$D,'2| Non-Default'!J$11)</f>
        <v>0</v>
      </c>
      <c r="K55" s="50">
        <f t="shared" ref="K55:K61" si="32">SUM(C55:J55)</f>
        <v>3</v>
      </c>
      <c r="L55" s="50"/>
      <c r="M55" s="7" t="s">
        <v>5</v>
      </c>
      <c r="N55" s="13">
        <f t="shared" ref="N55:U61" si="33">IFERROR(C55/SUM($C55:$J55),"")</f>
        <v>0</v>
      </c>
      <c r="O55" s="13">
        <f t="shared" si="33"/>
        <v>0.33333333333333331</v>
      </c>
      <c r="P55" s="13">
        <f t="shared" si="33"/>
        <v>0</v>
      </c>
      <c r="Q55" s="13">
        <f t="shared" si="33"/>
        <v>0.33333333333333331</v>
      </c>
      <c r="R55" s="13">
        <f t="shared" si="33"/>
        <v>0.33333333333333331</v>
      </c>
      <c r="S55" s="13">
        <f t="shared" si="33"/>
        <v>0</v>
      </c>
      <c r="T55" s="13">
        <f t="shared" si="33"/>
        <v>0</v>
      </c>
      <c r="U55" s="13">
        <f t="shared" si="33"/>
        <v>0</v>
      </c>
      <c r="W55" s="7" t="s">
        <v>5</v>
      </c>
      <c r="X55" s="15">
        <f>IFERROR(SUM(N55:$U55),"")</f>
        <v>1</v>
      </c>
      <c r="Y55" s="15">
        <f>IFERROR(SUM(O55:$U55),"")</f>
        <v>1</v>
      </c>
      <c r="Z55" s="15">
        <f>IFERROR(SUM(P55:$U55),"")</f>
        <v>0.66666666666666663</v>
      </c>
      <c r="AA55" s="15">
        <f>IFERROR(SUM(Q55:$U55),"")</f>
        <v>0.66666666666666663</v>
      </c>
      <c r="AB55" s="15">
        <f>IFERROR(SUM(R55:$U55),"")</f>
        <v>0.33333333333333331</v>
      </c>
      <c r="AC55" s="15">
        <f>IFERROR(SUM(S55:$U55),"")</f>
        <v>0</v>
      </c>
      <c r="AD55" s="15">
        <f>IFERROR(SUM(T55:$U55),"")</f>
        <v>0</v>
      </c>
      <c r="AE55" s="15">
        <f>IFERROR(SUM(U55:$U55),"")</f>
        <v>0</v>
      </c>
      <c r="AG55" s="7" t="s">
        <v>5</v>
      </c>
      <c r="AH55" s="15">
        <f t="shared" si="30"/>
        <v>1</v>
      </c>
      <c r="AI55" s="15">
        <f t="shared" si="30"/>
        <v>1</v>
      </c>
      <c r="AJ55" s="15">
        <f t="shared" si="30"/>
        <v>0.69587467118985513</v>
      </c>
      <c r="AK55" s="15">
        <f t="shared" si="30"/>
        <v>0.69587467118985513</v>
      </c>
      <c r="AL55" s="15">
        <f t="shared" si="30"/>
        <v>0.37733451510354371</v>
      </c>
      <c r="AM55" s="15">
        <f t="shared" si="30"/>
        <v>0</v>
      </c>
      <c r="AN55" s="15">
        <f t="shared" si="30"/>
        <v>0</v>
      </c>
      <c r="AO55" s="15">
        <f t="shared" si="30"/>
        <v>0</v>
      </c>
      <c r="AP55" s="51">
        <f>AP54</f>
        <v>-0.3478607004562066</v>
      </c>
      <c r="AR55" s="7" t="s">
        <v>5</v>
      </c>
      <c r="AS55" s="15">
        <f t="shared" si="31"/>
        <v>0</v>
      </c>
      <c r="AT55" s="15">
        <f t="shared" si="31"/>
        <v>0.30412532881014487</v>
      </c>
      <c r="AU55" s="15">
        <f t="shared" si="31"/>
        <v>0</v>
      </c>
      <c r="AV55" s="15">
        <f t="shared" si="31"/>
        <v>0.31854015608631142</v>
      </c>
      <c r="AW55" s="15">
        <f t="shared" si="31"/>
        <v>0.37733451510354371</v>
      </c>
      <c r="AX55" s="15">
        <f t="shared" si="31"/>
        <v>0</v>
      </c>
      <c r="AY55" s="15">
        <f t="shared" si="31"/>
        <v>0</v>
      </c>
      <c r="AZ55" s="15">
        <f t="shared" si="31"/>
        <v>0</v>
      </c>
      <c r="BA55" s="53">
        <f t="shared" ref="BA55:BA61" si="34">SUM(AS55:AZ55)</f>
        <v>1</v>
      </c>
    </row>
    <row r="56" spans="1:53" x14ac:dyDescent="0.25">
      <c r="A56" s="10">
        <f t="shared" ref="A56:A61" si="35">A55</f>
        <v>2021</v>
      </c>
      <c r="B56" s="7" t="s">
        <v>6</v>
      </c>
      <c r="C56" s="14">
        <f>SUMIFS(RATING_DATA!$E:$E,RATING_DATA!$A:$A,'2| Non-Default'!$C$3,RATING_DATA!$B:$B,'2| Non-Default'!$A56,RATING_DATA!$C:$C,'2| Non-Default'!$B56,RATING_DATA!$D:$D,'2| Non-Default'!C$11)</f>
        <v>0</v>
      </c>
      <c r="D56" s="14">
        <f>SUMIFS(RATING_DATA!$E:$E,RATING_DATA!$A:$A,'2| Non-Default'!$C$3,RATING_DATA!$B:$B,'2| Non-Default'!$A56,RATING_DATA!$C:$C,'2| Non-Default'!$B56,RATING_DATA!$D:$D,'2| Non-Default'!D$11)</f>
        <v>0</v>
      </c>
      <c r="E56" s="14">
        <f>SUMIFS(RATING_DATA!$E:$E,RATING_DATA!$A:$A,'2| Non-Default'!$C$3,RATING_DATA!$B:$B,'2| Non-Default'!$A56,RATING_DATA!$C:$C,'2| Non-Default'!$B56,RATING_DATA!$D:$D,'2| Non-Default'!E$11)</f>
        <v>0</v>
      </c>
      <c r="F56" s="14">
        <f>SUMIFS(RATING_DATA!$E:$E,RATING_DATA!$A:$A,'2| Non-Default'!$C$3,RATING_DATA!$B:$B,'2| Non-Default'!$A56,RATING_DATA!$C:$C,'2| Non-Default'!$B56,RATING_DATA!$D:$D,'2| Non-Default'!F$11)</f>
        <v>3</v>
      </c>
      <c r="G56" s="14">
        <f>SUMIFS(RATING_DATA!$E:$E,RATING_DATA!$A:$A,'2| Non-Default'!$C$3,RATING_DATA!$B:$B,'2| Non-Default'!$A56,RATING_DATA!$C:$C,'2| Non-Default'!$B56,RATING_DATA!$D:$D,'2| Non-Default'!G$11)</f>
        <v>0</v>
      </c>
      <c r="H56" s="14">
        <f>SUMIFS(RATING_DATA!$E:$E,RATING_DATA!$A:$A,'2| Non-Default'!$C$3,RATING_DATA!$B:$B,'2| Non-Default'!$A56,RATING_DATA!$C:$C,'2| Non-Default'!$B56,RATING_DATA!$D:$D,'2| Non-Default'!H$11)</f>
        <v>0</v>
      </c>
      <c r="I56" s="14">
        <f>SUMIFS(RATING_DATA!$E:$E,RATING_DATA!$A:$A,'2| Non-Default'!$C$3,RATING_DATA!$B:$B,'2| Non-Default'!$A56,RATING_DATA!$C:$C,'2| Non-Default'!$B56,RATING_DATA!$D:$D,'2| Non-Default'!I$11)</f>
        <v>0</v>
      </c>
      <c r="J56" s="14">
        <f>SUMIFS(RATING_DATA!$E:$E,RATING_DATA!$A:$A,'2| Non-Default'!$C$3,RATING_DATA!$B:$B,'2| Non-Default'!$A56,RATING_DATA!$C:$C,'2| Non-Default'!$B56,RATING_DATA!$D:$D,'2| Non-Default'!J$11)</f>
        <v>0</v>
      </c>
      <c r="K56" s="50">
        <f t="shared" si="32"/>
        <v>3</v>
      </c>
      <c r="L56" s="50"/>
      <c r="M56" s="7" t="s">
        <v>6</v>
      </c>
      <c r="N56" s="13">
        <f t="shared" si="33"/>
        <v>0</v>
      </c>
      <c r="O56" s="13">
        <f t="shared" si="33"/>
        <v>0</v>
      </c>
      <c r="P56" s="13">
        <f t="shared" si="33"/>
        <v>0</v>
      </c>
      <c r="Q56" s="13">
        <f t="shared" si="33"/>
        <v>1</v>
      </c>
      <c r="R56" s="13">
        <f t="shared" si="33"/>
        <v>0</v>
      </c>
      <c r="S56" s="13">
        <f t="shared" si="33"/>
        <v>0</v>
      </c>
      <c r="T56" s="13">
        <f t="shared" si="33"/>
        <v>0</v>
      </c>
      <c r="U56" s="13">
        <f t="shared" si="33"/>
        <v>0</v>
      </c>
      <c r="W56" s="7" t="s">
        <v>6</v>
      </c>
      <c r="X56" s="15">
        <f>IFERROR(SUM(N56:$U56),"")</f>
        <v>1</v>
      </c>
      <c r="Y56" s="15">
        <f>IFERROR(SUM(O56:$U56),"")</f>
        <v>1</v>
      </c>
      <c r="Z56" s="15">
        <f>IFERROR(SUM(P56:$U56),"")</f>
        <v>1</v>
      </c>
      <c r="AA56" s="15">
        <f>IFERROR(SUM(Q56:$U56),"")</f>
        <v>1</v>
      </c>
      <c r="AB56" s="15">
        <f>IFERROR(SUM(R56:$U56),"")</f>
        <v>0</v>
      </c>
      <c r="AC56" s="15">
        <f>IFERROR(SUM(S56:$U56),"")</f>
        <v>0</v>
      </c>
      <c r="AD56" s="15">
        <f>IFERROR(SUM(T56:$U56),"")</f>
        <v>0</v>
      </c>
      <c r="AE56" s="15">
        <f>IFERROR(SUM(U56:$U56),"")</f>
        <v>0</v>
      </c>
      <c r="AG56" s="7" t="s">
        <v>6</v>
      </c>
      <c r="AH56" s="15">
        <f t="shared" si="30"/>
        <v>1</v>
      </c>
      <c r="AI56" s="15">
        <f t="shared" si="30"/>
        <v>1</v>
      </c>
      <c r="AJ56" s="15">
        <f t="shared" si="30"/>
        <v>1</v>
      </c>
      <c r="AK56" s="15">
        <f t="shared" si="30"/>
        <v>1</v>
      </c>
      <c r="AL56" s="15">
        <f t="shared" si="30"/>
        <v>0</v>
      </c>
      <c r="AM56" s="15">
        <f t="shared" si="30"/>
        <v>0</v>
      </c>
      <c r="AN56" s="15">
        <f t="shared" si="30"/>
        <v>0</v>
      </c>
      <c r="AO56" s="15">
        <f t="shared" si="30"/>
        <v>0</v>
      </c>
      <c r="AP56" s="51">
        <f t="shared" ref="AP56:AP61" si="36">AP55</f>
        <v>-0.3478607004562066</v>
      </c>
      <c r="AR56" s="7" t="s">
        <v>6</v>
      </c>
      <c r="AS56" s="15">
        <f t="shared" si="31"/>
        <v>0</v>
      </c>
      <c r="AT56" s="15">
        <f t="shared" si="31"/>
        <v>0</v>
      </c>
      <c r="AU56" s="15">
        <f t="shared" si="31"/>
        <v>0</v>
      </c>
      <c r="AV56" s="15">
        <f t="shared" si="31"/>
        <v>1</v>
      </c>
      <c r="AW56" s="15">
        <f t="shared" si="31"/>
        <v>0</v>
      </c>
      <c r="AX56" s="15">
        <f t="shared" si="31"/>
        <v>0</v>
      </c>
      <c r="AY56" s="15">
        <f t="shared" si="31"/>
        <v>0</v>
      </c>
      <c r="AZ56" s="15">
        <f t="shared" si="31"/>
        <v>0</v>
      </c>
      <c r="BA56" s="53">
        <f t="shared" si="34"/>
        <v>1</v>
      </c>
    </row>
    <row r="57" spans="1:53" x14ac:dyDescent="0.25">
      <c r="A57" s="10">
        <f t="shared" si="35"/>
        <v>2021</v>
      </c>
      <c r="B57" s="7" t="s">
        <v>7</v>
      </c>
      <c r="C57" s="14">
        <f>SUMIFS(RATING_DATA!$E:$E,RATING_DATA!$A:$A,'2| Non-Default'!$C$3,RATING_DATA!$B:$B,'2| Non-Default'!$A57,RATING_DATA!$C:$C,'2| Non-Default'!$B57,RATING_DATA!$D:$D,'2| Non-Default'!C$11)</f>
        <v>0</v>
      </c>
      <c r="D57" s="14">
        <f>SUMIFS(RATING_DATA!$E:$E,RATING_DATA!$A:$A,'2| Non-Default'!$C$3,RATING_DATA!$B:$B,'2| Non-Default'!$A57,RATING_DATA!$C:$C,'2| Non-Default'!$B57,RATING_DATA!$D:$D,'2| Non-Default'!D$11)</f>
        <v>2</v>
      </c>
      <c r="E57" s="14">
        <f>SUMIFS(RATING_DATA!$E:$E,RATING_DATA!$A:$A,'2| Non-Default'!$C$3,RATING_DATA!$B:$B,'2| Non-Default'!$A57,RATING_DATA!$C:$C,'2| Non-Default'!$B57,RATING_DATA!$D:$D,'2| Non-Default'!E$11)</f>
        <v>0</v>
      </c>
      <c r="F57" s="14">
        <f>SUMIFS(RATING_DATA!$E:$E,RATING_DATA!$A:$A,'2| Non-Default'!$C$3,RATING_DATA!$B:$B,'2| Non-Default'!$A57,RATING_DATA!$C:$C,'2| Non-Default'!$B57,RATING_DATA!$D:$D,'2| Non-Default'!F$11)</f>
        <v>4</v>
      </c>
      <c r="G57" s="14">
        <f>SUMIFS(RATING_DATA!$E:$E,RATING_DATA!$A:$A,'2| Non-Default'!$C$3,RATING_DATA!$B:$B,'2| Non-Default'!$A57,RATING_DATA!$C:$C,'2| Non-Default'!$B57,RATING_DATA!$D:$D,'2| Non-Default'!G$11)</f>
        <v>2</v>
      </c>
      <c r="H57" s="14">
        <f>SUMIFS(RATING_DATA!$E:$E,RATING_DATA!$A:$A,'2| Non-Default'!$C$3,RATING_DATA!$B:$B,'2| Non-Default'!$A57,RATING_DATA!$C:$C,'2| Non-Default'!$B57,RATING_DATA!$D:$D,'2| Non-Default'!H$11)</f>
        <v>2</v>
      </c>
      <c r="I57" s="14">
        <f>SUMIFS(RATING_DATA!$E:$E,RATING_DATA!$A:$A,'2| Non-Default'!$C$3,RATING_DATA!$B:$B,'2| Non-Default'!$A57,RATING_DATA!$C:$C,'2| Non-Default'!$B57,RATING_DATA!$D:$D,'2| Non-Default'!I$11)</f>
        <v>1</v>
      </c>
      <c r="J57" s="14">
        <f>SUMIFS(RATING_DATA!$E:$E,RATING_DATA!$A:$A,'2| Non-Default'!$C$3,RATING_DATA!$B:$B,'2| Non-Default'!$A57,RATING_DATA!$C:$C,'2| Non-Default'!$B57,RATING_DATA!$D:$D,'2| Non-Default'!J$11)</f>
        <v>1</v>
      </c>
      <c r="K57" s="50">
        <f t="shared" si="32"/>
        <v>12</v>
      </c>
      <c r="L57" s="50"/>
      <c r="M57" s="7" t="s">
        <v>7</v>
      </c>
      <c r="N57" s="13">
        <f t="shared" si="33"/>
        <v>0</v>
      </c>
      <c r="O57" s="13">
        <f t="shared" si="33"/>
        <v>0.16666666666666666</v>
      </c>
      <c r="P57" s="13">
        <f t="shared" si="33"/>
        <v>0</v>
      </c>
      <c r="Q57" s="13">
        <f t="shared" si="33"/>
        <v>0.33333333333333331</v>
      </c>
      <c r="R57" s="13">
        <f t="shared" si="33"/>
        <v>0.16666666666666666</v>
      </c>
      <c r="S57" s="13">
        <f t="shared" si="33"/>
        <v>0.16666666666666666</v>
      </c>
      <c r="T57" s="13">
        <f t="shared" si="33"/>
        <v>8.3333333333333329E-2</v>
      </c>
      <c r="U57" s="13">
        <f t="shared" si="33"/>
        <v>8.3333333333333329E-2</v>
      </c>
      <c r="W57" s="7" t="s">
        <v>7</v>
      </c>
      <c r="X57" s="15">
        <f>IFERROR(SUM(N57:$U57),"")</f>
        <v>1</v>
      </c>
      <c r="Y57" s="15">
        <f>IFERROR(SUM(O57:$U57),"")</f>
        <v>1</v>
      </c>
      <c r="Z57" s="15">
        <f>IFERROR(SUM(P57:$U57),"")</f>
        <v>0.83333333333333337</v>
      </c>
      <c r="AA57" s="15">
        <f>IFERROR(SUM(Q57:$U57),"")</f>
        <v>0.83333333333333337</v>
      </c>
      <c r="AB57" s="15">
        <f>IFERROR(SUM(R57:$U57),"")</f>
        <v>0.49999999999999994</v>
      </c>
      <c r="AC57" s="15">
        <f>IFERROR(SUM(S57:$U57),"")</f>
        <v>0.33333333333333331</v>
      </c>
      <c r="AD57" s="15">
        <f>IFERROR(SUM(T57:$U57),"")</f>
        <v>0.16666666666666666</v>
      </c>
      <c r="AE57" s="15">
        <f>IFERROR(SUM(U57:$U57),"")</f>
        <v>8.3333333333333329E-2</v>
      </c>
      <c r="AG57" s="7" t="s">
        <v>7</v>
      </c>
      <c r="AH57" s="15">
        <f t="shared" si="30"/>
        <v>1</v>
      </c>
      <c r="AI57" s="15">
        <f t="shared" si="30"/>
        <v>1</v>
      </c>
      <c r="AJ57" s="15">
        <f t="shared" si="30"/>
        <v>0.84769388303976889</v>
      </c>
      <c r="AK57" s="15">
        <f t="shared" si="30"/>
        <v>0.84769388303976889</v>
      </c>
      <c r="AL57" s="15">
        <f t="shared" si="30"/>
        <v>0.53984436355531384</v>
      </c>
      <c r="AM57" s="15">
        <f t="shared" si="30"/>
        <v>0.37733451510354371</v>
      </c>
      <c r="AN57" s="15">
        <f t="shared" si="30"/>
        <v>0.2042575488580427</v>
      </c>
      <c r="AO57" s="15">
        <f t="shared" si="30"/>
        <v>0.11037701722002401</v>
      </c>
      <c r="AP57" s="51">
        <f t="shared" si="36"/>
        <v>-0.3478607004562066</v>
      </c>
      <c r="AR57" s="7" t="s">
        <v>7</v>
      </c>
      <c r="AS57" s="15">
        <f t="shared" si="31"/>
        <v>0</v>
      </c>
      <c r="AT57" s="15">
        <f t="shared" si="31"/>
        <v>0.15230611696023111</v>
      </c>
      <c r="AU57" s="15">
        <f t="shared" si="31"/>
        <v>0</v>
      </c>
      <c r="AV57" s="15">
        <f t="shared" si="31"/>
        <v>0.30784951948445505</v>
      </c>
      <c r="AW57" s="15">
        <f t="shared" si="31"/>
        <v>0.16250984845177013</v>
      </c>
      <c r="AX57" s="15">
        <f t="shared" si="31"/>
        <v>0.17307696624550101</v>
      </c>
      <c r="AY57" s="15">
        <f t="shared" si="31"/>
        <v>9.3880531638018697E-2</v>
      </c>
      <c r="AZ57" s="15">
        <f t="shared" si="31"/>
        <v>0.11037701722002401</v>
      </c>
      <c r="BA57" s="53">
        <f t="shared" si="34"/>
        <v>1</v>
      </c>
    </row>
    <row r="58" spans="1:53" x14ac:dyDescent="0.25">
      <c r="A58" s="10">
        <f t="shared" si="35"/>
        <v>2021</v>
      </c>
      <c r="B58" s="7" t="s">
        <v>8</v>
      </c>
      <c r="C58" s="14">
        <f>SUMIFS(RATING_DATA!$E:$E,RATING_DATA!$A:$A,'2| Non-Default'!$C$3,RATING_DATA!$B:$B,'2| Non-Default'!$A58,RATING_DATA!$C:$C,'2| Non-Default'!$B58,RATING_DATA!$D:$D,'2| Non-Default'!C$11)</f>
        <v>1</v>
      </c>
      <c r="D58" s="14">
        <f>SUMIFS(RATING_DATA!$E:$E,RATING_DATA!$A:$A,'2| Non-Default'!$C$3,RATING_DATA!$B:$B,'2| Non-Default'!$A58,RATING_DATA!$C:$C,'2| Non-Default'!$B58,RATING_DATA!$D:$D,'2| Non-Default'!D$11)</f>
        <v>2</v>
      </c>
      <c r="E58" s="14">
        <f>SUMIFS(RATING_DATA!$E:$E,RATING_DATA!$A:$A,'2| Non-Default'!$C$3,RATING_DATA!$B:$B,'2| Non-Default'!$A58,RATING_DATA!$C:$C,'2| Non-Default'!$B58,RATING_DATA!$D:$D,'2| Non-Default'!E$11)</f>
        <v>1</v>
      </c>
      <c r="F58" s="14">
        <f>SUMIFS(RATING_DATA!$E:$E,RATING_DATA!$A:$A,'2| Non-Default'!$C$3,RATING_DATA!$B:$B,'2| Non-Default'!$A58,RATING_DATA!$C:$C,'2| Non-Default'!$B58,RATING_DATA!$D:$D,'2| Non-Default'!F$11)</f>
        <v>2</v>
      </c>
      <c r="G58" s="14">
        <f>SUMIFS(RATING_DATA!$E:$E,RATING_DATA!$A:$A,'2| Non-Default'!$C$3,RATING_DATA!$B:$B,'2| Non-Default'!$A58,RATING_DATA!$C:$C,'2| Non-Default'!$B58,RATING_DATA!$D:$D,'2| Non-Default'!G$11)</f>
        <v>4</v>
      </c>
      <c r="H58" s="14">
        <f>SUMIFS(RATING_DATA!$E:$E,RATING_DATA!$A:$A,'2| Non-Default'!$C$3,RATING_DATA!$B:$B,'2| Non-Default'!$A58,RATING_DATA!$C:$C,'2| Non-Default'!$B58,RATING_DATA!$D:$D,'2| Non-Default'!H$11)</f>
        <v>2</v>
      </c>
      <c r="I58" s="14">
        <f>SUMIFS(RATING_DATA!$E:$E,RATING_DATA!$A:$A,'2| Non-Default'!$C$3,RATING_DATA!$B:$B,'2| Non-Default'!$A58,RATING_DATA!$C:$C,'2| Non-Default'!$B58,RATING_DATA!$D:$D,'2| Non-Default'!I$11)</f>
        <v>0</v>
      </c>
      <c r="J58" s="14">
        <f>SUMIFS(RATING_DATA!$E:$E,RATING_DATA!$A:$A,'2| Non-Default'!$C$3,RATING_DATA!$B:$B,'2| Non-Default'!$A58,RATING_DATA!$C:$C,'2| Non-Default'!$B58,RATING_DATA!$D:$D,'2| Non-Default'!J$11)</f>
        <v>1</v>
      </c>
      <c r="K58" s="50">
        <f t="shared" si="32"/>
        <v>13</v>
      </c>
      <c r="L58" s="50"/>
      <c r="M58" s="7" t="s">
        <v>8</v>
      </c>
      <c r="N58" s="13">
        <f t="shared" si="33"/>
        <v>7.6923076923076927E-2</v>
      </c>
      <c r="O58" s="13">
        <f t="shared" si="33"/>
        <v>0.15384615384615385</v>
      </c>
      <c r="P58" s="13">
        <f t="shared" si="33"/>
        <v>7.6923076923076927E-2</v>
      </c>
      <c r="Q58" s="13">
        <f t="shared" si="33"/>
        <v>0.15384615384615385</v>
      </c>
      <c r="R58" s="13">
        <f t="shared" si="33"/>
        <v>0.30769230769230771</v>
      </c>
      <c r="S58" s="13">
        <f t="shared" si="33"/>
        <v>0.15384615384615385</v>
      </c>
      <c r="T58" s="13">
        <f t="shared" si="33"/>
        <v>0</v>
      </c>
      <c r="U58" s="13">
        <f t="shared" si="33"/>
        <v>7.6923076923076927E-2</v>
      </c>
      <c r="W58" s="7" t="s">
        <v>8</v>
      </c>
      <c r="X58" s="15">
        <f>IFERROR(SUM(N58:$U58),"")</f>
        <v>1</v>
      </c>
      <c r="Y58" s="15">
        <f>IFERROR(SUM(O58:$U58),"")</f>
        <v>0.92307692307692313</v>
      </c>
      <c r="Z58" s="15">
        <f>IFERROR(SUM(P58:$U58),"")</f>
        <v>0.76923076923076938</v>
      </c>
      <c r="AA58" s="15">
        <f>IFERROR(SUM(Q58:$U58),"")</f>
        <v>0.69230769230769229</v>
      </c>
      <c r="AB58" s="15">
        <f>IFERROR(SUM(R58:$U58),"")</f>
        <v>0.53846153846153855</v>
      </c>
      <c r="AC58" s="15">
        <f>IFERROR(SUM(S58:$U58),"")</f>
        <v>0.23076923076923078</v>
      </c>
      <c r="AD58" s="15">
        <f>IFERROR(SUM(T58:$U58),"")</f>
        <v>7.6923076923076927E-2</v>
      </c>
      <c r="AE58" s="15">
        <f>IFERROR(SUM(U58:$U58),"")</f>
        <v>7.6923076923076927E-2</v>
      </c>
      <c r="AG58" s="7" t="s">
        <v>8</v>
      </c>
      <c r="AH58" s="15">
        <f t="shared" si="30"/>
        <v>1</v>
      </c>
      <c r="AI58" s="15">
        <f t="shared" si="30"/>
        <v>0.92865834518789969</v>
      </c>
      <c r="AJ58" s="15">
        <f t="shared" si="30"/>
        <v>0.78966246708234722</v>
      </c>
      <c r="AK58" s="15">
        <f t="shared" si="30"/>
        <v>0.71945357401913312</v>
      </c>
      <c r="AL58" s="15">
        <f t="shared" si="30"/>
        <v>0.57633292626791643</v>
      </c>
      <c r="AM58" s="15">
        <f t="shared" si="30"/>
        <v>0.27253389952895735</v>
      </c>
      <c r="AN58" s="15">
        <f t="shared" si="30"/>
        <v>0.10279446224635252</v>
      </c>
      <c r="AO58" s="15">
        <f t="shared" si="30"/>
        <v>0.10279446224635252</v>
      </c>
      <c r="AP58" s="51">
        <f t="shared" si="36"/>
        <v>-0.3478607004562066</v>
      </c>
      <c r="AR58" s="7" t="s">
        <v>8</v>
      </c>
      <c r="AS58" s="15">
        <f t="shared" si="31"/>
        <v>7.1341654812100308E-2</v>
      </c>
      <c r="AT58" s="15">
        <f t="shared" si="31"/>
        <v>0.13899587810555247</v>
      </c>
      <c r="AU58" s="15">
        <f t="shared" si="31"/>
        <v>7.0208893063214095E-2</v>
      </c>
      <c r="AV58" s="15">
        <f t="shared" si="31"/>
        <v>0.14312064775121669</v>
      </c>
      <c r="AW58" s="15">
        <f t="shared" si="31"/>
        <v>0.30379902673895909</v>
      </c>
      <c r="AX58" s="15">
        <f t="shared" si="31"/>
        <v>0.16973943728260482</v>
      </c>
      <c r="AY58" s="15">
        <f t="shared" si="31"/>
        <v>0</v>
      </c>
      <c r="AZ58" s="15">
        <f t="shared" si="31"/>
        <v>0.10279446224635252</v>
      </c>
      <c r="BA58" s="53">
        <f t="shared" si="34"/>
        <v>1</v>
      </c>
    </row>
    <row r="59" spans="1:53" x14ac:dyDescent="0.25">
      <c r="A59" s="10">
        <f t="shared" si="35"/>
        <v>2021</v>
      </c>
      <c r="B59" s="7" t="s">
        <v>9</v>
      </c>
      <c r="C59" s="14">
        <f>SUMIFS(RATING_DATA!$E:$E,RATING_DATA!$A:$A,'2| Non-Default'!$C$3,RATING_DATA!$B:$B,'2| Non-Default'!$A59,RATING_DATA!$C:$C,'2| Non-Default'!$B59,RATING_DATA!$D:$D,'2| Non-Default'!C$11)</f>
        <v>0</v>
      </c>
      <c r="D59" s="14">
        <f>SUMIFS(RATING_DATA!$E:$E,RATING_DATA!$A:$A,'2| Non-Default'!$C$3,RATING_DATA!$B:$B,'2| Non-Default'!$A59,RATING_DATA!$C:$C,'2| Non-Default'!$B59,RATING_DATA!$D:$D,'2| Non-Default'!D$11)</f>
        <v>1</v>
      </c>
      <c r="E59" s="14">
        <f>SUMIFS(RATING_DATA!$E:$E,RATING_DATA!$A:$A,'2| Non-Default'!$C$3,RATING_DATA!$B:$B,'2| Non-Default'!$A59,RATING_DATA!$C:$C,'2| Non-Default'!$B59,RATING_DATA!$D:$D,'2| Non-Default'!E$11)</f>
        <v>0</v>
      </c>
      <c r="F59" s="14">
        <f>SUMIFS(RATING_DATA!$E:$E,RATING_DATA!$A:$A,'2| Non-Default'!$C$3,RATING_DATA!$B:$B,'2| Non-Default'!$A59,RATING_DATA!$C:$C,'2| Non-Default'!$B59,RATING_DATA!$D:$D,'2| Non-Default'!F$11)</f>
        <v>5</v>
      </c>
      <c r="G59" s="14">
        <f>SUMIFS(RATING_DATA!$E:$E,RATING_DATA!$A:$A,'2| Non-Default'!$C$3,RATING_DATA!$B:$B,'2| Non-Default'!$A59,RATING_DATA!$C:$C,'2| Non-Default'!$B59,RATING_DATA!$D:$D,'2| Non-Default'!G$11)</f>
        <v>3</v>
      </c>
      <c r="H59" s="14">
        <f>SUMIFS(RATING_DATA!$E:$E,RATING_DATA!$A:$A,'2| Non-Default'!$C$3,RATING_DATA!$B:$B,'2| Non-Default'!$A59,RATING_DATA!$C:$C,'2| Non-Default'!$B59,RATING_DATA!$D:$D,'2| Non-Default'!H$11)</f>
        <v>3</v>
      </c>
      <c r="I59" s="14">
        <f>SUMIFS(RATING_DATA!$E:$E,RATING_DATA!$A:$A,'2| Non-Default'!$C$3,RATING_DATA!$B:$B,'2| Non-Default'!$A59,RATING_DATA!$C:$C,'2| Non-Default'!$B59,RATING_DATA!$D:$D,'2| Non-Default'!I$11)</f>
        <v>2</v>
      </c>
      <c r="J59" s="14">
        <f>SUMIFS(RATING_DATA!$E:$E,RATING_DATA!$A:$A,'2| Non-Default'!$C$3,RATING_DATA!$B:$B,'2| Non-Default'!$A59,RATING_DATA!$C:$C,'2| Non-Default'!$B59,RATING_DATA!$D:$D,'2| Non-Default'!J$11)</f>
        <v>4</v>
      </c>
      <c r="K59" s="50">
        <f t="shared" si="32"/>
        <v>18</v>
      </c>
      <c r="L59" s="50"/>
      <c r="M59" s="7" t="s">
        <v>9</v>
      </c>
      <c r="N59" s="13">
        <f t="shared" si="33"/>
        <v>0</v>
      </c>
      <c r="O59" s="13">
        <f t="shared" si="33"/>
        <v>5.5555555555555552E-2</v>
      </c>
      <c r="P59" s="13">
        <f t="shared" si="33"/>
        <v>0</v>
      </c>
      <c r="Q59" s="13">
        <f t="shared" si="33"/>
        <v>0.27777777777777779</v>
      </c>
      <c r="R59" s="13">
        <f t="shared" si="33"/>
        <v>0.16666666666666666</v>
      </c>
      <c r="S59" s="13">
        <f t="shared" si="33"/>
        <v>0.16666666666666666</v>
      </c>
      <c r="T59" s="13">
        <f t="shared" si="33"/>
        <v>0.1111111111111111</v>
      </c>
      <c r="U59" s="13">
        <f t="shared" si="33"/>
        <v>0.22222222222222221</v>
      </c>
      <c r="W59" s="7" t="s">
        <v>9</v>
      </c>
      <c r="X59" s="15">
        <f>IFERROR(SUM(N59:$U59),"")</f>
        <v>0.99999999999999989</v>
      </c>
      <c r="Y59" s="15">
        <f>IFERROR(SUM(O59:$U59),"")</f>
        <v>0.99999999999999989</v>
      </c>
      <c r="Z59" s="15">
        <f>IFERROR(SUM(P59:$U59),"")</f>
        <v>0.94444444444444431</v>
      </c>
      <c r="AA59" s="15">
        <f>IFERROR(SUM(Q59:$U59),"")</f>
        <v>0.94444444444444431</v>
      </c>
      <c r="AB59" s="15">
        <f>IFERROR(SUM(R59:$U59),"")</f>
        <v>0.66666666666666663</v>
      </c>
      <c r="AC59" s="15">
        <f>IFERROR(SUM(S59:$U59),"")</f>
        <v>0.5</v>
      </c>
      <c r="AD59" s="15">
        <f>IFERROR(SUM(T59:$U59),"")</f>
        <v>0.33333333333333331</v>
      </c>
      <c r="AE59" s="15">
        <f>IFERROR(SUM(U59:$U59),"")</f>
        <v>0.22222222222222221</v>
      </c>
      <c r="AG59" s="7" t="s">
        <v>9</v>
      </c>
      <c r="AH59" s="15">
        <f t="shared" si="30"/>
        <v>1</v>
      </c>
      <c r="AI59" s="15">
        <f t="shared" si="30"/>
        <v>1</v>
      </c>
      <c r="AJ59" s="15">
        <f t="shared" si="30"/>
        <v>0.94802008838834917</v>
      </c>
      <c r="AK59" s="15">
        <f t="shared" si="30"/>
        <v>0.94802008838834917</v>
      </c>
      <c r="AL59" s="15">
        <f t="shared" si="30"/>
        <v>0.69587467118985513</v>
      </c>
      <c r="AM59" s="15">
        <f t="shared" si="30"/>
        <v>0.53984436355531396</v>
      </c>
      <c r="AN59" s="15">
        <f t="shared" si="30"/>
        <v>0.37733451510354371</v>
      </c>
      <c r="AO59" s="15">
        <f t="shared" si="30"/>
        <v>0.26357531769284792</v>
      </c>
      <c r="AP59" s="51">
        <f t="shared" si="36"/>
        <v>-0.3478607004562066</v>
      </c>
      <c r="AR59" s="7" t="s">
        <v>9</v>
      </c>
      <c r="AS59" s="15">
        <f t="shared" si="31"/>
        <v>0</v>
      </c>
      <c r="AT59" s="15">
        <f t="shared" si="31"/>
        <v>5.1979911611650831E-2</v>
      </c>
      <c r="AU59" s="15">
        <f t="shared" si="31"/>
        <v>0</v>
      </c>
      <c r="AV59" s="15">
        <f t="shared" si="31"/>
        <v>0.25214541719849404</v>
      </c>
      <c r="AW59" s="15">
        <f t="shared" si="31"/>
        <v>0.15603030763454118</v>
      </c>
      <c r="AX59" s="15">
        <f t="shared" si="31"/>
        <v>0.16250984845177024</v>
      </c>
      <c r="AY59" s="15">
        <f t="shared" si="31"/>
        <v>0.11375919741069579</v>
      </c>
      <c r="AZ59" s="15">
        <f t="shared" si="31"/>
        <v>0.26357531769284792</v>
      </c>
      <c r="BA59" s="53">
        <f t="shared" si="34"/>
        <v>1</v>
      </c>
    </row>
    <row r="60" spans="1:53" x14ac:dyDescent="0.25">
      <c r="A60" s="10">
        <f t="shared" si="35"/>
        <v>2021</v>
      </c>
      <c r="B60" s="7" t="s">
        <v>10</v>
      </c>
      <c r="C60" s="14">
        <f>SUMIFS(RATING_DATA!$E:$E,RATING_DATA!$A:$A,'2| Non-Default'!$C$3,RATING_DATA!$B:$B,'2| Non-Default'!$A60,RATING_DATA!$C:$C,'2| Non-Default'!$B60,RATING_DATA!$D:$D,'2| Non-Default'!C$11)</f>
        <v>0</v>
      </c>
      <c r="D60" s="14">
        <f>SUMIFS(RATING_DATA!$E:$E,RATING_DATA!$A:$A,'2| Non-Default'!$C$3,RATING_DATA!$B:$B,'2| Non-Default'!$A60,RATING_DATA!$C:$C,'2| Non-Default'!$B60,RATING_DATA!$D:$D,'2| Non-Default'!D$11)</f>
        <v>0</v>
      </c>
      <c r="E60" s="14">
        <f>SUMIFS(RATING_DATA!$E:$E,RATING_DATA!$A:$A,'2| Non-Default'!$C$3,RATING_DATA!$B:$B,'2| Non-Default'!$A60,RATING_DATA!$C:$C,'2| Non-Default'!$B60,RATING_DATA!$D:$D,'2| Non-Default'!E$11)</f>
        <v>0</v>
      </c>
      <c r="F60" s="14">
        <f>SUMIFS(RATING_DATA!$E:$E,RATING_DATA!$A:$A,'2| Non-Default'!$C$3,RATING_DATA!$B:$B,'2| Non-Default'!$A60,RATING_DATA!$C:$C,'2| Non-Default'!$B60,RATING_DATA!$D:$D,'2| Non-Default'!F$11)</f>
        <v>1</v>
      </c>
      <c r="G60" s="14">
        <f>SUMIFS(RATING_DATA!$E:$E,RATING_DATA!$A:$A,'2| Non-Default'!$C$3,RATING_DATA!$B:$B,'2| Non-Default'!$A60,RATING_DATA!$C:$C,'2| Non-Default'!$B60,RATING_DATA!$D:$D,'2| Non-Default'!G$11)</f>
        <v>3</v>
      </c>
      <c r="H60" s="14">
        <f>SUMIFS(RATING_DATA!$E:$E,RATING_DATA!$A:$A,'2| Non-Default'!$C$3,RATING_DATA!$B:$B,'2| Non-Default'!$A60,RATING_DATA!$C:$C,'2| Non-Default'!$B60,RATING_DATA!$D:$D,'2| Non-Default'!H$11)</f>
        <v>5</v>
      </c>
      <c r="I60" s="14">
        <f>SUMIFS(RATING_DATA!$E:$E,RATING_DATA!$A:$A,'2| Non-Default'!$C$3,RATING_DATA!$B:$B,'2| Non-Default'!$A60,RATING_DATA!$C:$C,'2| Non-Default'!$B60,RATING_DATA!$D:$D,'2| Non-Default'!I$11)</f>
        <v>4</v>
      </c>
      <c r="J60" s="14">
        <f>SUMIFS(RATING_DATA!$E:$E,RATING_DATA!$A:$A,'2| Non-Default'!$C$3,RATING_DATA!$B:$B,'2| Non-Default'!$A60,RATING_DATA!$C:$C,'2| Non-Default'!$B60,RATING_DATA!$D:$D,'2| Non-Default'!J$11)</f>
        <v>2</v>
      </c>
      <c r="K60" s="50">
        <f t="shared" si="32"/>
        <v>15</v>
      </c>
      <c r="L60" s="50"/>
      <c r="M60" s="7" t="s">
        <v>10</v>
      </c>
      <c r="N60" s="13">
        <f t="shared" si="33"/>
        <v>0</v>
      </c>
      <c r="O60" s="13">
        <f t="shared" si="33"/>
        <v>0</v>
      </c>
      <c r="P60" s="13">
        <f t="shared" si="33"/>
        <v>0</v>
      </c>
      <c r="Q60" s="13">
        <f t="shared" si="33"/>
        <v>6.6666666666666666E-2</v>
      </c>
      <c r="R60" s="13">
        <f t="shared" si="33"/>
        <v>0.2</v>
      </c>
      <c r="S60" s="13">
        <f t="shared" si="33"/>
        <v>0.33333333333333331</v>
      </c>
      <c r="T60" s="13">
        <f t="shared" si="33"/>
        <v>0.26666666666666666</v>
      </c>
      <c r="U60" s="13">
        <f t="shared" si="33"/>
        <v>0.13333333333333333</v>
      </c>
      <c r="W60" s="7" t="s">
        <v>10</v>
      </c>
      <c r="X60" s="15">
        <f>IFERROR(SUM(N60:$U60),"")</f>
        <v>1</v>
      </c>
      <c r="Y60" s="15">
        <f>IFERROR(SUM(O60:$U60),"")</f>
        <v>1</v>
      </c>
      <c r="Z60" s="15">
        <f>IFERROR(SUM(P60:$U60),"")</f>
        <v>1</v>
      </c>
      <c r="AA60" s="15">
        <f>IFERROR(SUM(Q60:$U60),"")</f>
        <v>1</v>
      </c>
      <c r="AB60" s="15">
        <f>IFERROR(SUM(R60:$U60),"")</f>
        <v>0.93333333333333335</v>
      </c>
      <c r="AC60" s="15">
        <f>IFERROR(SUM(S60:$U60),"")</f>
        <v>0.73333333333333328</v>
      </c>
      <c r="AD60" s="15">
        <f>IFERROR(SUM(T60:$U60),"")</f>
        <v>0.4</v>
      </c>
      <c r="AE60" s="15">
        <f>IFERROR(SUM(U60:$U60),"")</f>
        <v>0.13333333333333333</v>
      </c>
      <c r="AG60" s="7" t="s">
        <v>10</v>
      </c>
      <c r="AH60" s="15">
        <f t="shared" si="30"/>
        <v>1</v>
      </c>
      <c r="AI60" s="15">
        <f t="shared" si="30"/>
        <v>1</v>
      </c>
      <c r="AJ60" s="15">
        <f t="shared" si="30"/>
        <v>1</v>
      </c>
      <c r="AK60" s="15">
        <f t="shared" si="30"/>
        <v>1</v>
      </c>
      <c r="AL60" s="15">
        <f t="shared" si="30"/>
        <v>0.93794043223979917</v>
      </c>
      <c r="AM60" s="15">
        <f t="shared" si="30"/>
        <v>0.75698932094791327</v>
      </c>
      <c r="AN60" s="15">
        <f t="shared" si="30"/>
        <v>0.44330210501877154</v>
      </c>
      <c r="AO60" s="15">
        <f t="shared" si="30"/>
        <v>0.16757221517291301</v>
      </c>
      <c r="AP60" s="51">
        <f t="shared" si="36"/>
        <v>-0.3478607004562066</v>
      </c>
      <c r="AR60" s="7" t="s">
        <v>10</v>
      </c>
      <c r="AS60" s="15">
        <f t="shared" si="31"/>
        <v>0</v>
      </c>
      <c r="AT60" s="15">
        <f t="shared" si="31"/>
        <v>0</v>
      </c>
      <c r="AU60" s="15">
        <f t="shared" si="31"/>
        <v>0</v>
      </c>
      <c r="AV60" s="15">
        <f t="shared" si="31"/>
        <v>6.2059567760200829E-2</v>
      </c>
      <c r="AW60" s="15">
        <f t="shared" si="31"/>
        <v>0.1809511112918859</v>
      </c>
      <c r="AX60" s="15">
        <f t="shared" si="31"/>
        <v>0.31368721592914173</v>
      </c>
      <c r="AY60" s="15">
        <f t="shared" si="31"/>
        <v>0.27572988984585856</v>
      </c>
      <c r="AZ60" s="15">
        <f t="shared" si="31"/>
        <v>0.16757221517291301</v>
      </c>
      <c r="BA60" s="53">
        <f t="shared" si="34"/>
        <v>1</v>
      </c>
    </row>
    <row r="61" spans="1:53" x14ac:dyDescent="0.25">
      <c r="A61" s="10">
        <f t="shared" si="35"/>
        <v>2021</v>
      </c>
      <c r="B61" s="7" t="s">
        <v>11</v>
      </c>
      <c r="C61" s="14">
        <f>SUMIFS(RATING_DATA!$E:$E,RATING_DATA!$A:$A,'2| Non-Default'!$C$3,RATING_DATA!$B:$B,'2| Non-Default'!$A61,RATING_DATA!$C:$C,'2| Non-Default'!$B61,RATING_DATA!$D:$D,'2| Non-Default'!C$11)</f>
        <v>0</v>
      </c>
      <c r="D61" s="14">
        <f>SUMIFS(RATING_DATA!$E:$E,RATING_DATA!$A:$A,'2| Non-Default'!$C$3,RATING_DATA!$B:$B,'2| Non-Default'!$A61,RATING_DATA!$C:$C,'2| Non-Default'!$B61,RATING_DATA!$D:$D,'2| Non-Default'!D$11)</f>
        <v>0</v>
      </c>
      <c r="E61" s="14">
        <f>SUMIFS(RATING_DATA!$E:$E,RATING_DATA!$A:$A,'2| Non-Default'!$C$3,RATING_DATA!$B:$B,'2| Non-Default'!$A61,RATING_DATA!$C:$C,'2| Non-Default'!$B61,RATING_DATA!$D:$D,'2| Non-Default'!E$11)</f>
        <v>0</v>
      </c>
      <c r="F61" s="14">
        <f>SUMIFS(RATING_DATA!$E:$E,RATING_DATA!$A:$A,'2| Non-Default'!$C$3,RATING_DATA!$B:$B,'2| Non-Default'!$A61,RATING_DATA!$C:$C,'2| Non-Default'!$B61,RATING_DATA!$D:$D,'2| Non-Default'!F$11)</f>
        <v>0</v>
      </c>
      <c r="G61" s="14">
        <f>SUMIFS(RATING_DATA!$E:$E,RATING_DATA!$A:$A,'2| Non-Default'!$C$3,RATING_DATA!$B:$B,'2| Non-Default'!$A61,RATING_DATA!$C:$C,'2| Non-Default'!$B61,RATING_DATA!$D:$D,'2| Non-Default'!G$11)</f>
        <v>1</v>
      </c>
      <c r="H61" s="14">
        <f>SUMIFS(RATING_DATA!$E:$E,RATING_DATA!$A:$A,'2| Non-Default'!$C$3,RATING_DATA!$B:$B,'2| Non-Default'!$A61,RATING_DATA!$C:$C,'2| Non-Default'!$B61,RATING_DATA!$D:$D,'2| Non-Default'!H$11)</f>
        <v>3</v>
      </c>
      <c r="I61" s="14">
        <f>SUMIFS(RATING_DATA!$E:$E,RATING_DATA!$A:$A,'2| Non-Default'!$C$3,RATING_DATA!$B:$B,'2| Non-Default'!$A61,RATING_DATA!$C:$C,'2| Non-Default'!$B61,RATING_DATA!$D:$D,'2| Non-Default'!I$11)</f>
        <v>2</v>
      </c>
      <c r="J61" s="14">
        <f>SUMIFS(RATING_DATA!$E:$E,RATING_DATA!$A:$A,'2| Non-Default'!$C$3,RATING_DATA!$B:$B,'2| Non-Default'!$A61,RATING_DATA!$C:$C,'2| Non-Default'!$B61,RATING_DATA!$D:$D,'2| Non-Default'!J$11)</f>
        <v>5</v>
      </c>
      <c r="K61" s="50">
        <f t="shared" si="32"/>
        <v>11</v>
      </c>
      <c r="L61" s="50"/>
      <c r="M61" s="7" t="s">
        <v>11</v>
      </c>
      <c r="N61" s="13">
        <f t="shared" si="33"/>
        <v>0</v>
      </c>
      <c r="O61" s="13">
        <f t="shared" si="33"/>
        <v>0</v>
      </c>
      <c r="P61" s="13">
        <f t="shared" si="33"/>
        <v>0</v>
      </c>
      <c r="Q61" s="13">
        <f t="shared" si="33"/>
        <v>0</v>
      </c>
      <c r="R61" s="13">
        <f t="shared" si="33"/>
        <v>9.0909090909090912E-2</v>
      </c>
      <c r="S61" s="13">
        <f t="shared" si="33"/>
        <v>0.27272727272727271</v>
      </c>
      <c r="T61" s="13">
        <f t="shared" si="33"/>
        <v>0.18181818181818182</v>
      </c>
      <c r="U61" s="13">
        <f t="shared" si="33"/>
        <v>0.45454545454545453</v>
      </c>
      <c r="W61" s="7" t="s">
        <v>11</v>
      </c>
      <c r="X61" s="15">
        <f>IFERROR(SUM(N61:$U61),"")</f>
        <v>1</v>
      </c>
      <c r="Y61" s="15">
        <f>IFERROR(SUM(O61:$U61),"")</f>
        <v>1</v>
      </c>
      <c r="Z61" s="15">
        <f>IFERROR(SUM(P61:$U61),"")</f>
        <v>1</v>
      </c>
      <c r="AA61" s="15">
        <f>IFERROR(SUM(Q61:$U61),"")</f>
        <v>1</v>
      </c>
      <c r="AB61" s="15">
        <f>IFERROR(SUM(R61:$U61),"")</f>
        <v>1</v>
      </c>
      <c r="AC61" s="15">
        <f>IFERROR(SUM(S61:$U61),"")</f>
        <v>0.90909090909090906</v>
      </c>
      <c r="AD61" s="15">
        <f>IFERROR(SUM(T61:$U61),"")</f>
        <v>0.63636363636363635</v>
      </c>
      <c r="AE61" s="15">
        <f>IFERROR(SUM(U61:$U61),"")</f>
        <v>0.45454545454545453</v>
      </c>
      <c r="AG61" s="7" t="s">
        <v>11</v>
      </c>
      <c r="AH61" s="15">
        <f t="shared" si="30"/>
        <v>1</v>
      </c>
      <c r="AI61" s="15">
        <f t="shared" si="30"/>
        <v>1</v>
      </c>
      <c r="AJ61" s="15">
        <f t="shared" si="30"/>
        <v>1</v>
      </c>
      <c r="AK61" s="15">
        <f t="shared" si="30"/>
        <v>1</v>
      </c>
      <c r="AL61" s="15">
        <f t="shared" si="30"/>
        <v>1</v>
      </c>
      <c r="AM61" s="15">
        <f t="shared" si="30"/>
        <v>0.91602371548822692</v>
      </c>
      <c r="AN61" s="15">
        <f t="shared" si="30"/>
        <v>0.66787885301431016</v>
      </c>
      <c r="AO61" s="15">
        <f t="shared" si="30"/>
        <v>0.49628202791602366</v>
      </c>
      <c r="AP61" s="51">
        <f t="shared" si="36"/>
        <v>-0.3478607004562066</v>
      </c>
      <c r="AR61" s="7" t="s">
        <v>11</v>
      </c>
      <c r="AS61" s="15">
        <f t="shared" si="31"/>
        <v>0</v>
      </c>
      <c r="AT61" s="15">
        <f t="shared" si="31"/>
        <v>0</v>
      </c>
      <c r="AU61" s="15">
        <f t="shared" si="31"/>
        <v>0</v>
      </c>
      <c r="AV61" s="15">
        <f t="shared" si="31"/>
        <v>0</v>
      </c>
      <c r="AW61" s="15">
        <f t="shared" si="31"/>
        <v>8.3976284511773081E-2</v>
      </c>
      <c r="AX61" s="15">
        <f t="shared" si="31"/>
        <v>0.24814486247391676</v>
      </c>
      <c r="AY61" s="15">
        <f t="shared" si="31"/>
        <v>0.1715968250982865</v>
      </c>
      <c r="AZ61" s="15">
        <f t="shared" si="31"/>
        <v>0.49628202791602366</v>
      </c>
      <c r="BA61" s="53">
        <f t="shared" si="34"/>
        <v>1</v>
      </c>
    </row>
    <row r="63" spans="1:53" x14ac:dyDescent="0.25">
      <c r="B63" s="5" t="s">
        <v>1</v>
      </c>
      <c r="C63" s="5" t="s">
        <v>2</v>
      </c>
      <c r="M63" s="5" t="s">
        <v>1</v>
      </c>
      <c r="N63" s="5" t="s">
        <v>2</v>
      </c>
      <c r="W63" s="5" t="s">
        <v>1</v>
      </c>
      <c r="X63" s="5" t="s">
        <v>2</v>
      </c>
      <c r="AG63" s="5" t="s">
        <v>1</v>
      </c>
      <c r="AH63" s="5" t="s">
        <v>2</v>
      </c>
      <c r="AJ63" s="16" t="s">
        <v>18</v>
      </c>
      <c r="AR63" s="5" t="s">
        <v>1</v>
      </c>
      <c r="AS63" s="5" t="s">
        <v>2</v>
      </c>
    </row>
    <row r="64" spans="1:53" x14ac:dyDescent="0.25">
      <c r="B64" s="6">
        <f>B50+1</f>
        <v>2022</v>
      </c>
      <c r="C64" s="6">
        <f>B64+1</f>
        <v>2023</v>
      </c>
      <c r="M64" s="6">
        <f>B64</f>
        <v>2022</v>
      </c>
      <c r="N64" s="6">
        <f>M64+1</f>
        <v>2023</v>
      </c>
      <c r="W64" s="6">
        <f>M64</f>
        <v>2022</v>
      </c>
      <c r="X64" s="6">
        <f>W64+1</f>
        <v>2023</v>
      </c>
      <c r="AG64" s="6">
        <f>W64</f>
        <v>2022</v>
      </c>
      <c r="AH64" s="6">
        <f>AG64+1</f>
        <v>2023</v>
      </c>
      <c r="AJ64" s="18">
        <f>VLOOKUP($AG64,'1| Parameter'!$B$15:$E$20,4,FALSE)</f>
        <v>-0.4970856415458384</v>
      </c>
      <c r="AR64" s="6">
        <f>AG64</f>
        <v>2022</v>
      </c>
      <c r="AS64" s="6">
        <f>AR64+1</f>
        <v>2023</v>
      </c>
    </row>
    <row r="66" spans="1:53" x14ac:dyDescent="0.25">
      <c r="C66" s="11">
        <v>1</v>
      </c>
      <c r="D66" s="11">
        <v>2</v>
      </c>
      <c r="E66" s="11">
        <v>3</v>
      </c>
      <c r="F66" s="11">
        <v>4</v>
      </c>
      <c r="G66" s="11">
        <v>5</v>
      </c>
      <c r="H66" s="11">
        <v>6</v>
      </c>
      <c r="I66" s="11">
        <v>7</v>
      </c>
      <c r="J66" s="11">
        <v>8</v>
      </c>
      <c r="N66" s="11">
        <v>1</v>
      </c>
      <c r="O66" s="11">
        <v>2</v>
      </c>
      <c r="P66" s="11">
        <v>3</v>
      </c>
      <c r="Q66" s="11">
        <v>4</v>
      </c>
      <c r="R66" s="11">
        <v>5</v>
      </c>
      <c r="S66" s="11">
        <v>6</v>
      </c>
      <c r="T66" s="11">
        <v>7</v>
      </c>
      <c r="U66" s="11">
        <v>8</v>
      </c>
      <c r="X66" s="11">
        <v>1</v>
      </c>
      <c r="Y66" s="11">
        <v>2</v>
      </c>
      <c r="Z66" s="11">
        <v>3</v>
      </c>
      <c r="AA66" s="11">
        <v>4</v>
      </c>
      <c r="AB66" s="11">
        <v>5</v>
      </c>
      <c r="AC66" s="11">
        <v>6</v>
      </c>
      <c r="AD66" s="11">
        <v>7</v>
      </c>
      <c r="AE66" s="11">
        <v>8</v>
      </c>
      <c r="AH66" s="11">
        <v>1</v>
      </c>
      <c r="AI66" s="11">
        <v>2</v>
      </c>
      <c r="AJ66" s="11">
        <v>3</v>
      </c>
      <c r="AK66" s="11">
        <v>4</v>
      </c>
      <c r="AL66" s="11">
        <v>5</v>
      </c>
      <c r="AM66" s="11">
        <v>6</v>
      </c>
      <c r="AN66" s="11">
        <v>7</v>
      </c>
      <c r="AO66" s="11">
        <v>8</v>
      </c>
      <c r="AS66" s="11">
        <v>1</v>
      </c>
      <c r="AT66" s="11">
        <v>2</v>
      </c>
      <c r="AU66" s="11">
        <v>3</v>
      </c>
      <c r="AV66" s="11">
        <v>4</v>
      </c>
      <c r="AW66" s="11">
        <v>5</v>
      </c>
      <c r="AX66" s="11">
        <v>6</v>
      </c>
      <c r="AY66" s="11">
        <v>7</v>
      </c>
      <c r="AZ66" s="11">
        <v>8</v>
      </c>
    </row>
    <row r="67" spans="1:53" x14ac:dyDescent="0.25">
      <c r="B67" s="8" t="s">
        <v>12</v>
      </c>
      <c r="C67" s="9" t="s">
        <v>3</v>
      </c>
      <c r="D67" s="9" t="s">
        <v>5</v>
      </c>
      <c r="E67" s="9" t="s">
        <v>6</v>
      </c>
      <c r="F67" s="9" t="s">
        <v>7</v>
      </c>
      <c r="G67" s="9" t="s">
        <v>8</v>
      </c>
      <c r="H67" s="9" t="s">
        <v>9</v>
      </c>
      <c r="I67" s="9" t="s">
        <v>10</v>
      </c>
      <c r="J67" s="9" t="s">
        <v>11</v>
      </c>
      <c r="K67" s="11" t="s">
        <v>22</v>
      </c>
      <c r="L67" s="11"/>
      <c r="M67" s="8" t="s">
        <v>12</v>
      </c>
      <c r="N67" s="9" t="s">
        <v>3</v>
      </c>
      <c r="O67" s="9" t="s">
        <v>5</v>
      </c>
      <c r="P67" s="9" t="s">
        <v>6</v>
      </c>
      <c r="Q67" s="9" t="s">
        <v>7</v>
      </c>
      <c r="R67" s="9" t="s">
        <v>8</v>
      </c>
      <c r="S67" s="9" t="s">
        <v>9</v>
      </c>
      <c r="T67" s="9" t="s">
        <v>10</v>
      </c>
      <c r="U67" s="9" t="s">
        <v>11</v>
      </c>
      <c r="W67" s="8" t="s">
        <v>12</v>
      </c>
      <c r="X67" s="9" t="s">
        <v>3</v>
      </c>
      <c r="Y67" s="9" t="s">
        <v>5</v>
      </c>
      <c r="Z67" s="9" t="s">
        <v>6</v>
      </c>
      <c r="AA67" s="9" t="s">
        <v>7</v>
      </c>
      <c r="AB67" s="9" t="s">
        <v>8</v>
      </c>
      <c r="AC67" s="9" t="s">
        <v>9</v>
      </c>
      <c r="AD67" s="9" t="s">
        <v>10</v>
      </c>
      <c r="AE67" s="9" t="s">
        <v>11</v>
      </c>
      <c r="AG67" s="8" t="s">
        <v>12</v>
      </c>
      <c r="AH67" s="9" t="s">
        <v>3</v>
      </c>
      <c r="AI67" s="9" t="s">
        <v>5</v>
      </c>
      <c r="AJ67" s="9" t="s">
        <v>6</v>
      </c>
      <c r="AK67" s="9" t="s">
        <v>7</v>
      </c>
      <c r="AL67" s="9" t="s">
        <v>8</v>
      </c>
      <c r="AM67" s="9" t="s">
        <v>9</v>
      </c>
      <c r="AN67" s="9" t="s">
        <v>10</v>
      </c>
      <c r="AO67" s="9" t="s">
        <v>11</v>
      </c>
      <c r="AP67" s="11" t="s">
        <v>18</v>
      </c>
      <c r="AR67" s="8" t="s">
        <v>12</v>
      </c>
      <c r="AS67" s="9" t="s">
        <v>3</v>
      </c>
      <c r="AT67" s="9" t="s">
        <v>5</v>
      </c>
      <c r="AU67" s="9" t="s">
        <v>6</v>
      </c>
      <c r="AV67" s="9" t="s">
        <v>7</v>
      </c>
      <c r="AW67" s="9" t="s">
        <v>8</v>
      </c>
      <c r="AX67" s="9" t="s">
        <v>9</v>
      </c>
      <c r="AY67" s="9" t="s">
        <v>10</v>
      </c>
      <c r="AZ67" s="9" t="s">
        <v>11</v>
      </c>
    </row>
    <row r="68" spans="1:53" x14ac:dyDescent="0.25">
      <c r="A68" s="10">
        <f>B64</f>
        <v>2022</v>
      </c>
      <c r="B68" s="7" t="s">
        <v>3</v>
      </c>
      <c r="C68" s="14">
        <f>SUMIFS(RATING_DATA!$E:$E,RATING_DATA!$A:$A,'2| Non-Default'!$C$3,RATING_DATA!$B:$B,'2| Non-Default'!$A68,RATING_DATA!$C:$C,'2| Non-Default'!$B68,RATING_DATA!$D:$D,'2| Non-Default'!C$11)</f>
        <v>0</v>
      </c>
      <c r="D68" s="14">
        <f>SUMIFS(RATING_DATA!$E:$E,RATING_DATA!$A:$A,'2| Non-Default'!$C$3,RATING_DATA!$B:$B,'2| Non-Default'!$A68,RATING_DATA!$C:$C,'2| Non-Default'!$B68,RATING_DATA!$D:$D,'2| Non-Default'!D$11)</f>
        <v>1</v>
      </c>
      <c r="E68" s="14">
        <f>SUMIFS(RATING_DATA!$E:$E,RATING_DATA!$A:$A,'2| Non-Default'!$C$3,RATING_DATA!$B:$B,'2| Non-Default'!$A68,RATING_DATA!$C:$C,'2| Non-Default'!$B68,RATING_DATA!$D:$D,'2| Non-Default'!E$11)</f>
        <v>0</v>
      </c>
      <c r="F68" s="14">
        <f>SUMIFS(RATING_DATA!$E:$E,RATING_DATA!$A:$A,'2| Non-Default'!$C$3,RATING_DATA!$B:$B,'2| Non-Default'!$A68,RATING_DATA!$C:$C,'2| Non-Default'!$B68,RATING_DATA!$D:$D,'2| Non-Default'!F$11)</f>
        <v>0</v>
      </c>
      <c r="G68" s="14">
        <f>SUMIFS(RATING_DATA!$E:$E,RATING_DATA!$A:$A,'2| Non-Default'!$C$3,RATING_DATA!$B:$B,'2| Non-Default'!$A68,RATING_DATA!$C:$C,'2| Non-Default'!$B68,RATING_DATA!$D:$D,'2| Non-Default'!G$11)</f>
        <v>0</v>
      </c>
      <c r="H68" s="14">
        <f>SUMIFS(RATING_DATA!$E:$E,RATING_DATA!$A:$A,'2| Non-Default'!$C$3,RATING_DATA!$B:$B,'2| Non-Default'!$A68,RATING_DATA!$C:$C,'2| Non-Default'!$B68,RATING_DATA!$D:$D,'2| Non-Default'!H$11)</f>
        <v>0</v>
      </c>
      <c r="I68" s="14">
        <f>SUMIFS(RATING_DATA!$E:$E,RATING_DATA!$A:$A,'2| Non-Default'!$C$3,RATING_DATA!$B:$B,'2| Non-Default'!$A68,RATING_DATA!$C:$C,'2| Non-Default'!$B68,RATING_DATA!$D:$D,'2| Non-Default'!I$11)</f>
        <v>0</v>
      </c>
      <c r="J68" s="14">
        <f>SUMIFS(RATING_DATA!$E:$E,RATING_DATA!$A:$A,'2| Non-Default'!$C$3,RATING_DATA!$B:$B,'2| Non-Default'!$A68,RATING_DATA!$C:$C,'2| Non-Default'!$B68,RATING_DATA!$D:$D,'2| Non-Default'!J$11)</f>
        <v>0</v>
      </c>
      <c r="K68" s="50">
        <f>SUM(C68:J68)</f>
        <v>1</v>
      </c>
      <c r="L68" s="50"/>
      <c r="M68" s="7" t="s">
        <v>3</v>
      </c>
      <c r="N68" s="13">
        <f t="shared" ref="N68:U68" si="37">IFERROR(C68/$K68,"")</f>
        <v>0</v>
      </c>
      <c r="O68" s="13">
        <f t="shared" si="37"/>
        <v>1</v>
      </c>
      <c r="P68" s="13">
        <f t="shared" si="37"/>
        <v>0</v>
      </c>
      <c r="Q68" s="13">
        <f t="shared" si="37"/>
        <v>0</v>
      </c>
      <c r="R68" s="13">
        <f t="shared" si="37"/>
        <v>0</v>
      </c>
      <c r="S68" s="13">
        <f t="shared" si="37"/>
        <v>0</v>
      </c>
      <c r="T68" s="13">
        <f t="shared" si="37"/>
        <v>0</v>
      </c>
      <c r="U68" s="13">
        <f t="shared" si="37"/>
        <v>0</v>
      </c>
      <c r="W68" s="7" t="s">
        <v>3</v>
      </c>
      <c r="X68" s="15">
        <f>IFERROR(SUM(N68:$U68),"")</f>
        <v>1</v>
      </c>
      <c r="Y68" s="15">
        <f>IFERROR(SUM(O68:$U68),"")</f>
        <v>1</v>
      </c>
      <c r="Z68" s="15">
        <f>IFERROR(SUM(P68:$U68),"")</f>
        <v>0</v>
      </c>
      <c r="AA68" s="15">
        <f>IFERROR(SUM(Q68:$U68),"")</f>
        <v>0</v>
      </c>
      <c r="AB68" s="15">
        <f>IFERROR(SUM(R68:$U68),"")</f>
        <v>0</v>
      </c>
      <c r="AC68" s="15">
        <f>IFERROR(SUM(S68:$U68),"")</f>
        <v>0</v>
      </c>
      <c r="AD68" s="15">
        <f>IFERROR(SUM(T68:$U68),"")</f>
        <v>0</v>
      </c>
      <c r="AE68" s="15">
        <f>IFERROR(SUM(U68:$U68),"")</f>
        <v>0</v>
      </c>
      <c r="AG68" s="7" t="s">
        <v>3</v>
      </c>
      <c r="AH68" s="15">
        <f t="shared" ref="AH68:AO75" si="38">IF(X68=1,1,IF(X68=0,0,NORMSDIST(NORMSINV(X68)*(SQRT(1-$F$3))-SQRT($F$3)*$AP68)))</f>
        <v>1</v>
      </c>
      <c r="AI68" s="15">
        <f t="shared" si="38"/>
        <v>1</v>
      </c>
      <c r="AJ68" s="15">
        <f t="shared" si="38"/>
        <v>0</v>
      </c>
      <c r="AK68" s="15">
        <f t="shared" si="38"/>
        <v>0</v>
      </c>
      <c r="AL68" s="15">
        <f t="shared" si="38"/>
        <v>0</v>
      </c>
      <c r="AM68" s="15">
        <f t="shared" si="38"/>
        <v>0</v>
      </c>
      <c r="AN68" s="15">
        <f t="shared" si="38"/>
        <v>0</v>
      </c>
      <c r="AO68" s="15">
        <f t="shared" si="38"/>
        <v>0</v>
      </c>
      <c r="AP68" s="51">
        <f>AJ64</f>
        <v>-0.4970856415458384</v>
      </c>
      <c r="AR68" s="7" t="s">
        <v>3</v>
      </c>
      <c r="AS68" s="15">
        <f t="shared" ref="AS68:AZ75" si="39">IF(AS$10&lt;&gt;MAX($AS$10:$AZ$10),IFERROR(AH68-AI68,""),AH68)</f>
        <v>0</v>
      </c>
      <c r="AT68" s="15">
        <f t="shared" si="39"/>
        <v>1</v>
      </c>
      <c r="AU68" s="15">
        <f t="shared" si="39"/>
        <v>0</v>
      </c>
      <c r="AV68" s="15">
        <f t="shared" si="39"/>
        <v>0</v>
      </c>
      <c r="AW68" s="15">
        <f t="shared" si="39"/>
        <v>0</v>
      </c>
      <c r="AX68" s="15">
        <f t="shared" si="39"/>
        <v>0</v>
      </c>
      <c r="AY68" s="15">
        <f t="shared" si="39"/>
        <v>0</v>
      </c>
      <c r="AZ68" s="15">
        <f t="shared" si="39"/>
        <v>0</v>
      </c>
      <c r="BA68" s="53">
        <f>SUM(AS68:AZ68)</f>
        <v>1</v>
      </c>
    </row>
    <row r="69" spans="1:53" x14ac:dyDescent="0.25">
      <c r="A69" s="10">
        <f>A68</f>
        <v>2022</v>
      </c>
      <c r="B69" s="7" t="s">
        <v>5</v>
      </c>
      <c r="C69" s="14">
        <f>SUMIFS(RATING_DATA!$E:$E,RATING_DATA!$A:$A,'2| Non-Default'!$C$3,RATING_DATA!$B:$B,'2| Non-Default'!$A69,RATING_DATA!$C:$C,'2| Non-Default'!$B69,RATING_DATA!$D:$D,'2| Non-Default'!C$11)</f>
        <v>0</v>
      </c>
      <c r="D69" s="14">
        <f>SUMIFS(RATING_DATA!$E:$E,RATING_DATA!$A:$A,'2| Non-Default'!$C$3,RATING_DATA!$B:$B,'2| Non-Default'!$A69,RATING_DATA!$C:$C,'2| Non-Default'!$B69,RATING_DATA!$D:$D,'2| Non-Default'!D$11)</f>
        <v>1</v>
      </c>
      <c r="E69" s="14">
        <f>SUMIFS(RATING_DATA!$E:$E,RATING_DATA!$A:$A,'2| Non-Default'!$C$3,RATING_DATA!$B:$B,'2| Non-Default'!$A69,RATING_DATA!$C:$C,'2| Non-Default'!$B69,RATING_DATA!$D:$D,'2| Non-Default'!E$11)</f>
        <v>0</v>
      </c>
      <c r="F69" s="14">
        <f>SUMIFS(RATING_DATA!$E:$E,RATING_DATA!$A:$A,'2| Non-Default'!$C$3,RATING_DATA!$B:$B,'2| Non-Default'!$A69,RATING_DATA!$C:$C,'2| Non-Default'!$B69,RATING_DATA!$D:$D,'2| Non-Default'!F$11)</f>
        <v>1</v>
      </c>
      <c r="G69" s="14">
        <f>SUMIFS(RATING_DATA!$E:$E,RATING_DATA!$A:$A,'2| Non-Default'!$C$3,RATING_DATA!$B:$B,'2| Non-Default'!$A69,RATING_DATA!$C:$C,'2| Non-Default'!$B69,RATING_DATA!$D:$D,'2| Non-Default'!G$11)</f>
        <v>0</v>
      </c>
      <c r="H69" s="14">
        <f>SUMIFS(RATING_DATA!$E:$E,RATING_DATA!$A:$A,'2| Non-Default'!$C$3,RATING_DATA!$B:$B,'2| Non-Default'!$A69,RATING_DATA!$C:$C,'2| Non-Default'!$B69,RATING_DATA!$D:$D,'2| Non-Default'!H$11)</f>
        <v>0</v>
      </c>
      <c r="I69" s="14">
        <f>SUMIFS(RATING_DATA!$E:$E,RATING_DATA!$A:$A,'2| Non-Default'!$C$3,RATING_DATA!$B:$B,'2| Non-Default'!$A69,RATING_DATA!$C:$C,'2| Non-Default'!$B69,RATING_DATA!$D:$D,'2| Non-Default'!I$11)</f>
        <v>0</v>
      </c>
      <c r="J69" s="14">
        <f>SUMIFS(RATING_DATA!$E:$E,RATING_DATA!$A:$A,'2| Non-Default'!$C$3,RATING_DATA!$B:$B,'2| Non-Default'!$A69,RATING_DATA!$C:$C,'2| Non-Default'!$B69,RATING_DATA!$D:$D,'2| Non-Default'!J$11)</f>
        <v>0</v>
      </c>
      <c r="K69" s="50">
        <f t="shared" ref="K69:K75" si="40">SUM(C69:J69)</f>
        <v>2</v>
      </c>
      <c r="L69" s="50"/>
      <c r="M69" s="7" t="s">
        <v>5</v>
      </c>
      <c r="N69" s="13">
        <f t="shared" ref="N69:U75" si="41">IFERROR(C69/SUM($C69:$J69),"")</f>
        <v>0</v>
      </c>
      <c r="O69" s="13">
        <f t="shared" si="41"/>
        <v>0.5</v>
      </c>
      <c r="P69" s="13">
        <f t="shared" si="41"/>
        <v>0</v>
      </c>
      <c r="Q69" s="13">
        <f t="shared" si="41"/>
        <v>0.5</v>
      </c>
      <c r="R69" s="13">
        <f t="shared" si="41"/>
        <v>0</v>
      </c>
      <c r="S69" s="13">
        <f t="shared" si="41"/>
        <v>0</v>
      </c>
      <c r="T69" s="13">
        <f t="shared" si="41"/>
        <v>0</v>
      </c>
      <c r="U69" s="13">
        <f t="shared" si="41"/>
        <v>0</v>
      </c>
      <c r="W69" s="7" t="s">
        <v>5</v>
      </c>
      <c r="X69" s="15">
        <f>IFERROR(SUM(N69:$U69),"")</f>
        <v>1</v>
      </c>
      <c r="Y69" s="15">
        <f>IFERROR(SUM(O69:$U69),"")</f>
        <v>1</v>
      </c>
      <c r="Z69" s="15">
        <f>IFERROR(SUM(P69:$U69),"")</f>
        <v>0.5</v>
      </c>
      <c r="AA69" s="15">
        <f>IFERROR(SUM(Q69:$U69),"")</f>
        <v>0.5</v>
      </c>
      <c r="AB69" s="15">
        <f>IFERROR(SUM(R69:$U69),"")</f>
        <v>0</v>
      </c>
      <c r="AC69" s="15">
        <f>IFERROR(SUM(S69:$U69),"")</f>
        <v>0</v>
      </c>
      <c r="AD69" s="15">
        <f>IFERROR(SUM(T69:$U69),"")</f>
        <v>0</v>
      </c>
      <c r="AE69" s="15">
        <f>IFERROR(SUM(U69:$U69),"")</f>
        <v>0</v>
      </c>
      <c r="AG69" s="7" t="s">
        <v>5</v>
      </c>
      <c r="AH69" s="15">
        <f t="shared" si="38"/>
        <v>1</v>
      </c>
      <c r="AI69" s="15">
        <f t="shared" si="38"/>
        <v>1</v>
      </c>
      <c r="AJ69" s="15">
        <f t="shared" si="38"/>
        <v>0.55683808502675514</v>
      </c>
      <c r="AK69" s="15">
        <f t="shared" si="38"/>
        <v>0.55683808502675514</v>
      </c>
      <c r="AL69" s="15">
        <f t="shared" si="38"/>
        <v>0</v>
      </c>
      <c r="AM69" s="15">
        <f t="shared" si="38"/>
        <v>0</v>
      </c>
      <c r="AN69" s="15">
        <f t="shared" si="38"/>
        <v>0</v>
      </c>
      <c r="AO69" s="15">
        <f t="shared" si="38"/>
        <v>0</v>
      </c>
      <c r="AP69" s="51">
        <f>AP68</f>
        <v>-0.4970856415458384</v>
      </c>
      <c r="AR69" s="7" t="s">
        <v>5</v>
      </c>
      <c r="AS69" s="15">
        <f t="shared" si="39"/>
        <v>0</v>
      </c>
      <c r="AT69" s="15">
        <f t="shared" si="39"/>
        <v>0.44316191497324486</v>
      </c>
      <c r="AU69" s="15">
        <f t="shared" si="39"/>
        <v>0</v>
      </c>
      <c r="AV69" s="15">
        <f t="shared" si="39"/>
        <v>0.55683808502675514</v>
      </c>
      <c r="AW69" s="15">
        <f t="shared" si="39"/>
        <v>0</v>
      </c>
      <c r="AX69" s="15">
        <f t="shared" si="39"/>
        <v>0</v>
      </c>
      <c r="AY69" s="15">
        <f t="shared" si="39"/>
        <v>0</v>
      </c>
      <c r="AZ69" s="15">
        <f t="shared" si="39"/>
        <v>0</v>
      </c>
      <c r="BA69" s="53">
        <f t="shared" ref="BA69:BA75" si="42">SUM(AS69:AZ69)</f>
        <v>1</v>
      </c>
    </row>
    <row r="70" spans="1:53" x14ac:dyDescent="0.25">
      <c r="A70" s="10">
        <f t="shared" ref="A70:A75" si="43">A69</f>
        <v>2022</v>
      </c>
      <c r="B70" s="7" t="s">
        <v>6</v>
      </c>
      <c r="C70" s="14">
        <f>SUMIFS(RATING_DATA!$E:$E,RATING_DATA!$A:$A,'2| Non-Default'!$C$3,RATING_DATA!$B:$B,'2| Non-Default'!$A70,RATING_DATA!$C:$C,'2| Non-Default'!$B70,RATING_DATA!$D:$D,'2| Non-Default'!C$11)</f>
        <v>0</v>
      </c>
      <c r="D70" s="14">
        <f>SUMIFS(RATING_DATA!$E:$E,RATING_DATA!$A:$A,'2| Non-Default'!$C$3,RATING_DATA!$B:$B,'2| Non-Default'!$A70,RATING_DATA!$C:$C,'2| Non-Default'!$B70,RATING_DATA!$D:$D,'2| Non-Default'!D$11)</f>
        <v>0</v>
      </c>
      <c r="E70" s="14">
        <f>SUMIFS(RATING_DATA!$E:$E,RATING_DATA!$A:$A,'2| Non-Default'!$C$3,RATING_DATA!$B:$B,'2| Non-Default'!$A70,RATING_DATA!$C:$C,'2| Non-Default'!$B70,RATING_DATA!$D:$D,'2| Non-Default'!E$11)</f>
        <v>1</v>
      </c>
      <c r="F70" s="14">
        <f>SUMIFS(RATING_DATA!$E:$E,RATING_DATA!$A:$A,'2| Non-Default'!$C$3,RATING_DATA!$B:$B,'2| Non-Default'!$A70,RATING_DATA!$C:$C,'2| Non-Default'!$B70,RATING_DATA!$D:$D,'2| Non-Default'!F$11)</f>
        <v>1</v>
      </c>
      <c r="G70" s="14">
        <f>SUMIFS(RATING_DATA!$E:$E,RATING_DATA!$A:$A,'2| Non-Default'!$C$3,RATING_DATA!$B:$B,'2| Non-Default'!$A70,RATING_DATA!$C:$C,'2| Non-Default'!$B70,RATING_DATA!$D:$D,'2| Non-Default'!G$11)</f>
        <v>0</v>
      </c>
      <c r="H70" s="14">
        <f>SUMIFS(RATING_DATA!$E:$E,RATING_DATA!$A:$A,'2| Non-Default'!$C$3,RATING_DATA!$B:$B,'2| Non-Default'!$A70,RATING_DATA!$C:$C,'2| Non-Default'!$B70,RATING_DATA!$D:$D,'2| Non-Default'!H$11)</f>
        <v>0</v>
      </c>
      <c r="I70" s="14">
        <f>SUMIFS(RATING_DATA!$E:$E,RATING_DATA!$A:$A,'2| Non-Default'!$C$3,RATING_DATA!$B:$B,'2| Non-Default'!$A70,RATING_DATA!$C:$C,'2| Non-Default'!$B70,RATING_DATA!$D:$D,'2| Non-Default'!I$11)</f>
        <v>0</v>
      </c>
      <c r="J70" s="14">
        <f>SUMIFS(RATING_DATA!$E:$E,RATING_DATA!$A:$A,'2| Non-Default'!$C$3,RATING_DATA!$B:$B,'2| Non-Default'!$A70,RATING_DATA!$C:$C,'2| Non-Default'!$B70,RATING_DATA!$D:$D,'2| Non-Default'!J$11)</f>
        <v>0</v>
      </c>
      <c r="K70" s="50">
        <f t="shared" si="40"/>
        <v>2</v>
      </c>
      <c r="L70" s="50"/>
      <c r="M70" s="7" t="s">
        <v>6</v>
      </c>
      <c r="N70" s="13">
        <f t="shared" si="41"/>
        <v>0</v>
      </c>
      <c r="O70" s="13">
        <f t="shared" si="41"/>
        <v>0</v>
      </c>
      <c r="P70" s="13">
        <f t="shared" si="41"/>
        <v>0.5</v>
      </c>
      <c r="Q70" s="13">
        <f t="shared" si="41"/>
        <v>0.5</v>
      </c>
      <c r="R70" s="13">
        <f t="shared" si="41"/>
        <v>0</v>
      </c>
      <c r="S70" s="13">
        <f t="shared" si="41"/>
        <v>0</v>
      </c>
      <c r="T70" s="13">
        <f t="shared" si="41"/>
        <v>0</v>
      </c>
      <c r="U70" s="13">
        <f t="shared" si="41"/>
        <v>0</v>
      </c>
      <c r="W70" s="7" t="s">
        <v>6</v>
      </c>
      <c r="X70" s="15">
        <f>IFERROR(SUM(N70:$U70),"")</f>
        <v>1</v>
      </c>
      <c r="Y70" s="15">
        <f>IFERROR(SUM(O70:$U70),"")</f>
        <v>1</v>
      </c>
      <c r="Z70" s="15">
        <f>IFERROR(SUM(P70:$U70),"")</f>
        <v>1</v>
      </c>
      <c r="AA70" s="15">
        <f>IFERROR(SUM(Q70:$U70),"")</f>
        <v>0.5</v>
      </c>
      <c r="AB70" s="15">
        <f>IFERROR(SUM(R70:$U70),"")</f>
        <v>0</v>
      </c>
      <c r="AC70" s="15">
        <f>IFERROR(SUM(S70:$U70),"")</f>
        <v>0</v>
      </c>
      <c r="AD70" s="15">
        <f>IFERROR(SUM(T70:$U70),"")</f>
        <v>0</v>
      </c>
      <c r="AE70" s="15">
        <f>IFERROR(SUM(U70:$U70),"")</f>
        <v>0</v>
      </c>
      <c r="AG70" s="7" t="s">
        <v>6</v>
      </c>
      <c r="AH70" s="15">
        <f t="shared" si="38"/>
        <v>1</v>
      </c>
      <c r="AI70" s="15">
        <f t="shared" si="38"/>
        <v>1</v>
      </c>
      <c r="AJ70" s="15">
        <f t="shared" si="38"/>
        <v>1</v>
      </c>
      <c r="AK70" s="15">
        <f t="shared" si="38"/>
        <v>0.55683808502675514</v>
      </c>
      <c r="AL70" s="15">
        <f t="shared" si="38"/>
        <v>0</v>
      </c>
      <c r="AM70" s="15">
        <f t="shared" si="38"/>
        <v>0</v>
      </c>
      <c r="AN70" s="15">
        <f t="shared" si="38"/>
        <v>0</v>
      </c>
      <c r="AO70" s="15">
        <f t="shared" si="38"/>
        <v>0</v>
      </c>
      <c r="AP70" s="51">
        <f t="shared" ref="AP70:AP75" si="44">AP69</f>
        <v>-0.4970856415458384</v>
      </c>
      <c r="AR70" s="7" t="s">
        <v>6</v>
      </c>
      <c r="AS70" s="15">
        <f t="shared" si="39"/>
        <v>0</v>
      </c>
      <c r="AT70" s="15">
        <f t="shared" si="39"/>
        <v>0</v>
      </c>
      <c r="AU70" s="15">
        <f t="shared" si="39"/>
        <v>0.44316191497324486</v>
      </c>
      <c r="AV70" s="15">
        <f t="shared" si="39"/>
        <v>0.55683808502675514</v>
      </c>
      <c r="AW70" s="15">
        <f t="shared" si="39"/>
        <v>0</v>
      </c>
      <c r="AX70" s="15">
        <f t="shared" si="39"/>
        <v>0</v>
      </c>
      <c r="AY70" s="15">
        <f t="shared" si="39"/>
        <v>0</v>
      </c>
      <c r="AZ70" s="15">
        <f t="shared" si="39"/>
        <v>0</v>
      </c>
      <c r="BA70" s="53">
        <f t="shared" si="42"/>
        <v>1</v>
      </c>
    </row>
    <row r="71" spans="1:53" x14ac:dyDescent="0.25">
      <c r="A71" s="10">
        <f t="shared" si="43"/>
        <v>2022</v>
      </c>
      <c r="B71" s="7" t="s">
        <v>7</v>
      </c>
      <c r="C71" s="14">
        <f>SUMIFS(RATING_DATA!$E:$E,RATING_DATA!$A:$A,'2| Non-Default'!$C$3,RATING_DATA!$B:$B,'2| Non-Default'!$A71,RATING_DATA!$C:$C,'2| Non-Default'!$B71,RATING_DATA!$D:$D,'2| Non-Default'!C$11)</f>
        <v>0</v>
      </c>
      <c r="D71" s="14">
        <f>SUMIFS(RATING_DATA!$E:$E,RATING_DATA!$A:$A,'2| Non-Default'!$C$3,RATING_DATA!$B:$B,'2| Non-Default'!$A71,RATING_DATA!$C:$C,'2| Non-Default'!$B71,RATING_DATA!$D:$D,'2| Non-Default'!D$11)</f>
        <v>1</v>
      </c>
      <c r="E71" s="14">
        <f>SUMIFS(RATING_DATA!$E:$E,RATING_DATA!$A:$A,'2| Non-Default'!$C$3,RATING_DATA!$B:$B,'2| Non-Default'!$A71,RATING_DATA!$C:$C,'2| Non-Default'!$B71,RATING_DATA!$D:$D,'2| Non-Default'!E$11)</f>
        <v>0</v>
      </c>
      <c r="F71" s="14">
        <f>SUMIFS(RATING_DATA!$E:$E,RATING_DATA!$A:$A,'2| Non-Default'!$C$3,RATING_DATA!$B:$B,'2| Non-Default'!$A71,RATING_DATA!$C:$C,'2| Non-Default'!$B71,RATING_DATA!$D:$D,'2| Non-Default'!F$11)</f>
        <v>2</v>
      </c>
      <c r="G71" s="14">
        <f>SUMIFS(RATING_DATA!$E:$E,RATING_DATA!$A:$A,'2| Non-Default'!$C$3,RATING_DATA!$B:$B,'2| Non-Default'!$A71,RATING_DATA!$C:$C,'2| Non-Default'!$B71,RATING_DATA!$D:$D,'2| Non-Default'!G$11)</f>
        <v>0</v>
      </c>
      <c r="H71" s="14">
        <f>SUMIFS(RATING_DATA!$E:$E,RATING_DATA!$A:$A,'2| Non-Default'!$C$3,RATING_DATA!$B:$B,'2| Non-Default'!$A71,RATING_DATA!$C:$C,'2| Non-Default'!$B71,RATING_DATA!$D:$D,'2| Non-Default'!H$11)</f>
        <v>0</v>
      </c>
      <c r="I71" s="14">
        <f>SUMIFS(RATING_DATA!$E:$E,RATING_DATA!$A:$A,'2| Non-Default'!$C$3,RATING_DATA!$B:$B,'2| Non-Default'!$A71,RATING_DATA!$C:$C,'2| Non-Default'!$B71,RATING_DATA!$D:$D,'2| Non-Default'!I$11)</f>
        <v>0</v>
      </c>
      <c r="J71" s="14">
        <f>SUMIFS(RATING_DATA!$E:$E,RATING_DATA!$A:$A,'2| Non-Default'!$C$3,RATING_DATA!$B:$B,'2| Non-Default'!$A71,RATING_DATA!$C:$C,'2| Non-Default'!$B71,RATING_DATA!$D:$D,'2| Non-Default'!J$11)</f>
        <v>0</v>
      </c>
      <c r="K71" s="50">
        <f t="shared" si="40"/>
        <v>3</v>
      </c>
      <c r="L71" s="50"/>
      <c r="M71" s="7" t="s">
        <v>7</v>
      </c>
      <c r="N71" s="13">
        <f t="shared" si="41"/>
        <v>0</v>
      </c>
      <c r="O71" s="13">
        <f t="shared" si="41"/>
        <v>0.33333333333333331</v>
      </c>
      <c r="P71" s="13">
        <f t="shared" si="41"/>
        <v>0</v>
      </c>
      <c r="Q71" s="13">
        <f t="shared" si="41"/>
        <v>0.66666666666666663</v>
      </c>
      <c r="R71" s="13">
        <f t="shared" si="41"/>
        <v>0</v>
      </c>
      <c r="S71" s="13">
        <f t="shared" si="41"/>
        <v>0</v>
      </c>
      <c r="T71" s="13">
        <f t="shared" si="41"/>
        <v>0</v>
      </c>
      <c r="U71" s="13">
        <f t="shared" si="41"/>
        <v>0</v>
      </c>
      <c r="W71" s="7" t="s">
        <v>7</v>
      </c>
      <c r="X71" s="15">
        <f>IFERROR(SUM(N71:$U71),"")</f>
        <v>1</v>
      </c>
      <c r="Y71" s="15">
        <f>IFERROR(SUM(O71:$U71),"")</f>
        <v>1</v>
      </c>
      <c r="Z71" s="15">
        <f>IFERROR(SUM(P71:$U71),"")</f>
        <v>0.66666666666666663</v>
      </c>
      <c r="AA71" s="15">
        <f>IFERROR(SUM(Q71:$U71),"")</f>
        <v>0.66666666666666663</v>
      </c>
      <c r="AB71" s="15">
        <f>IFERROR(SUM(R71:$U71),"")</f>
        <v>0</v>
      </c>
      <c r="AC71" s="15">
        <f>IFERROR(SUM(S71:$U71),"")</f>
        <v>0</v>
      </c>
      <c r="AD71" s="15">
        <f>IFERROR(SUM(T71:$U71),"")</f>
        <v>0</v>
      </c>
      <c r="AE71" s="15">
        <f>IFERROR(SUM(U71:$U71),"")</f>
        <v>0</v>
      </c>
      <c r="AG71" s="7" t="s">
        <v>7</v>
      </c>
      <c r="AH71" s="15">
        <f t="shared" si="38"/>
        <v>1</v>
      </c>
      <c r="AI71" s="15">
        <f t="shared" si="38"/>
        <v>1</v>
      </c>
      <c r="AJ71" s="15">
        <f t="shared" si="38"/>
        <v>0.71071950250851912</v>
      </c>
      <c r="AK71" s="15">
        <f t="shared" si="38"/>
        <v>0.71071950250851912</v>
      </c>
      <c r="AL71" s="15">
        <f t="shared" si="38"/>
        <v>0</v>
      </c>
      <c r="AM71" s="15">
        <f t="shared" si="38"/>
        <v>0</v>
      </c>
      <c r="AN71" s="15">
        <f t="shared" si="38"/>
        <v>0</v>
      </c>
      <c r="AO71" s="15">
        <f t="shared" si="38"/>
        <v>0</v>
      </c>
      <c r="AP71" s="51">
        <f t="shared" si="44"/>
        <v>-0.4970856415458384</v>
      </c>
      <c r="AR71" s="7" t="s">
        <v>7</v>
      </c>
      <c r="AS71" s="15">
        <f t="shared" si="39"/>
        <v>0</v>
      </c>
      <c r="AT71" s="15">
        <f t="shared" si="39"/>
        <v>0.28928049749148088</v>
      </c>
      <c r="AU71" s="15">
        <f t="shared" si="39"/>
        <v>0</v>
      </c>
      <c r="AV71" s="15">
        <f t="shared" si="39"/>
        <v>0.71071950250851912</v>
      </c>
      <c r="AW71" s="15">
        <f t="shared" si="39"/>
        <v>0</v>
      </c>
      <c r="AX71" s="15">
        <f t="shared" si="39"/>
        <v>0</v>
      </c>
      <c r="AY71" s="15">
        <f t="shared" si="39"/>
        <v>0</v>
      </c>
      <c r="AZ71" s="15">
        <f t="shared" si="39"/>
        <v>0</v>
      </c>
      <c r="BA71" s="53">
        <f t="shared" si="42"/>
        <v>1</v>
      </c>
    </row>
    <row r="72" spans="1:53" x14ac:dyDescent="0.25">
      <c r="A72" s="10">
        <f t="shared" si="43"/>
        <v>2022</v>
      </c>
      <c r="B72" s="7" t="s">
        <v>8</v>
      </c>
      <c r="C72" s="14">
        <f>SUMIFS(RATING_DATA!$E:$E,RATING_DATA!$A:$A,'2| Non-Default'!$C$3,RATING_DATA!$B:$B,'2| Non-Default'!$A72,RATING_DATA!$C:$C,'2| Non-Default'!$B72,RATING_DATA!$D:$D,'2| Non-Default'!C$11)</f>
        <v>0</v>
      </c>
      <c r="D72" s="14">
        <f>SUMIFS(RATING_DATA!$E:$E,RATING_DATA!$A:$A,'2| Non-Default'!$C$3,RATING_DATA!$B:$B,'2| Non-Default'!$A72,RATING_DATA!$C:$C,'2| Non-Default'!$B72,RATING_DATA!$D:$D,'2| Non-Default'!D$11)</f>
        <v>0</v>
      </c>
      <c r="E72" s="14">
        <f>SUMIFS(RATING_DATA!$E:$E,RATING_DATA!$A:$A,'2| Non-Default'!$C$3,RATING_DATA!$B:$B,'2| Non-Default'!$A72,RATING_DATA!$C:$C,'2| Non-Default'!$B72,RATING_DATA!$D:$D,'2| Non-Default'!E$11)</f>
        <v>0</v>
      </c>
      <c r="F72" s="14">
        <f>SUMIFS(RATING_DATA!$E:$E,RATING_DATA!$A:$A,'2| Non-Default'!$C$3,RATING_DATA!$B:$B,'2| Non-Default'!$A72,RATING_DATA!$C:$C,'2| Non-Default'!$B72,RATING_DATA!$D:$D,'2| Non-Default'!F$11)</f>
        <v>0</v>
      </c>
      <c r="G72" s="14">
        <f>SUMIFS(RATING_DATA!$E:$E,RATING_DATA!$A:$A,'2| Non-Default'!$C$3,RATING_DATA!$B:$B,'2| Non-Default'!$A72,RATING_DATA!$C:$C,'2| Non-Default'!$B72,RATING_DATA!$D:$D,'2| Non-Default'!G$11)</f>
        <v>0</v>
      </c>
      <c r="H72" s="14">
        <f>SUMIFS(RATING_DATA!$E:$E,RATING_DATA!$A:$A,'2| Non-Default'!$C$3,RATING_DATA!$B:$B,'2| Non-Default'!$A72,RATING_DATA!$C:$C,'2| Non-Default'!$B72,RATING_DATA!$D:$D,'2| Non-Default'!H$11)</f>
        <v>0</v>
      </c>
      <c r="I72" s="14">
        <f>SUMIFS(RATING_DATA!$E:$E,RATING_DATA!$A:$A,'2| Non-Default'!$C$3,RATING_DATA!$B:$B,'2| Non-Default'!$A72,RATING_DATA!$C:$C,'2| Non-Default'!$B72,RATING_DATA!$D:$D,'2| Non-Default'!I$11)</f>
        <v>0</v>
      </c>
      <c r="J72" s="14">
        <f>SUMIFS(RATING_DATA!$E:$E,RATING_DATA!$A:$A,'2| Non-Default'!$C$3,RATING_DATA!$B:$B,'2| Non-Default'!$A72,RATING_DATA!$C:$C,'2| Non-Default'!$B72,RATING_DATA!$D:$D,'2| Non-Default'!J$11)</f>
        <v>0</v>
      </c>
      <c r="K72" s="50">
        <f t="shared" si="40"/>
        <v>0</v>
      </c>
      <c r="L72" s="50"/>
      <c r="M72" s="7" t="s">
        <v>8</v>
      </c>
      <c r="N72" s="13" t="str">
        <f t="shared" si="41"/>
        <v/>
      </c>
      <c r="O72" s="13" t="str">
        <f t="shared" si="41"/>
        <v/>
      </c>
      <c r="P72" s="13" t="str">
        <f t="shared" si="41"/>
        <v/>
      </c>
      <c r="Q72" s="13" t="str">
        <f t="shared" si="41"/>
        <v/>
      </c>
      <c r="R72" s="13" t="str">
        <f t="shared" si="41"/>
        <v/>
      </c>
      <c r="S72" s="13" t="str">
        <f t="shared" si="41"/>
        <v/>
      </c>
      <c r="T72" s="13" t="str">
        <f t="shared" si="41"/>
        <v/>
      </c>
      <c r="U72" s="13" t="str">
        <f t="shared" si="41"/>
        <v/>
      </c>
      <c r="W72" s="7" t="s">
        <v>8</v>
      </c>
      <c r="X72" s="15">
        <f>IFERROR(SUM(N72:$U72),"")</f>
        <v>0</v>
      </c>
      <c r="Y72" s="15">
        <f>IFERROR(SUM(O72:$U72),"")</f>
        <v>0</v>
      </c>
      <c r="Z72" s="15">
        <f>IFERROR(SUM(P72:$U72),"")</f>
        <v>0</v>
      </c>
      <c r="AA72" s="15">
        <f>IFERROR(SUM(Q72:$U72),"")</f>
        <v>0</v>
      </c>
      <c r="AB72" s="15">
        <f>IFERROR(SUM(R72:$U72),"")</f>
        <v>0</v>
      </c>
      <c r="AC72" s="15">
        <f>IFERROR(SUM(S72:$U72),"")</f>
        <v>0</v>
      </c>
      <c r="AD72" s="15">
        <f>IFERROR(SUM(T72:$U72),"")</f>
        <v>0</v>
      </c>
      <c r="AE72" s="15">
        <f>IFERROR(SUM(U72:$U72),"")</f>
        <v>0</v>
      </c>
      <c r="AG72" s="7" t="s">
        <v>8</v>
      </c>
      <c r="AH72" s="15">
        <f t="shared" si="38"/>
        <v>0</v>
      </c>
      <c r="AI72" s="15">
        <f t="shared" si="38"/>
        <v>0</v>
      </c>
      <c r="AJ72" s="15">
        <f t="shared" si="38"/>
        <v>0</v>
      </c>
      <c r="AK72" s="15">
        <f t="shared" si="38"/>
        <v>0</v>
      </c>
      <c r="AL72" s="15">
        <f t="shared" si="38"/>
        <v>0</v>
      </c>
      <c r="AM72" s="15">
        <f t="shared" si="38"/>
        <v>0</v>
      </c>
      <c r="AN72" s="15">
        <f t="shared" si="38"/>
        <v>0</v>
      </c>
      <c r="AO72" s="15">
        <f t="shared" si="38"/>
        <v>0</v>
      </c>
      <c r="AP72" s="51">
        <f t="shared" si="44"/>
        <v>-0.4970856415458384</v>
      </c>
      <c r="AR72" s="7" t="s">
        <v>8</v>
      </c>
      <c r="AS72" s="15">
        <f t="shared" si="39"/>
        <v>0</v>
      </c>
      <c r="AT72" s="15">
        <f t="shared" si="39"/>
        <v>0</v>
      </c>
      <c r="AU72" s="15">
        <f t="shared" si="39"/>
        <v>0</v>
      </c>
      <c r="AV72" s="15">
        <f t="shared" si="39"/>
        <v>0</v>
      </c>
      <c r="AW72" s="15">
        <f t="shared" si="39"/>
        <v>0</v>
      </c>
      <c r="AX72" s="15">
        <f t="shared" si="39"/>
        <v>0</v>
      </c>
      <c r="AY72" s="15">
        <f t="shared" si="39"/>
        <v>0</v>
      </c>
      <c r="AZ72" s="15">
        <f t="shared" si="39"/>
        <v>0</v>
      </c>
      <c r="BA72" s="53">
        <f t="shared" si="42"/>
        <v>0</v>
      </c>
    </row>
    <row r="73" spans="1:53" x14ac:dyDescent="0.25">
      <c r="A73" s="10">
        <f t="shared" si="43"/>
        <v>2022</v>
      </c>
      <c r="B73" s="7" t="s">
        <v>9</v>
      </c>
      <c r="C73" s="14">
        <f>SUMIFS(RATING_DATA!$E:$E,RATING_DATA!$A:$A,'2| Non-Default'!$C$3,RATING_DATA!$B:$B,'2| Non-Default'!$A73,RATING_DATA!$C:$C,'2| Non-Default'!$B73,RATING_DATA!$D:$D,'2| Non-Default'!C$11)</f>
        <v>0</v>
      </c>
      <c r="D73" s="14">
        <f>SUMIFS(RATING_DATA!$E:$E,RATING_DATA!$A:$A,'2| Non-Default'!$C$3,RATING_DATA!$B:$B,'2| Non-Default'!$A73,RATING_DATA!$C:$C,'2| Non-Default'!$B73,RATING_DATA!$D:$D,'2| Non-Default'!D$11)</f>
        <v>0</v>
      </c>
      <c r="E73" s="14">
        <f>SUMIFS(RATING_DATA!$E:$E,RATING_DATA!$A:$A,'2| Non-Default'!$C$3,RATING_DATA!$B:$B,'2| Non-Default'!$A73,RATING_DATA!$C:$C,'2| Non-Default'!$B73,RATING_DATA!$D:$D,'2| Non-Default'!E$11)</f>
        <v>0</v>
      </c>
      <c r="F73" s="14">
        <f>SUMIFS(RATING_DATA!$E:$E,RATING_DATA!$A:$A,'2| Non-Default'!$C$3,RATING_DATA!$B:$B,'2| Non-Default'!$A73,RATING_DATA!$C:$C,'2| Non-Default'!$B73,RATING_DATA!$D:$D,'2| Non-Default'!F$11)</f>
        <v>0</v>
      </c>
      <c r="G73" s="14">
        <f>SUMIFS(RATING_DATA!$E:$E,RATING_DATA!$A:$A,'2| Non-Default'!$C$3,RATING_DATA!$B:$B,'2| Non-Default'!$A73,RATING_DATA!$C:$C,'2| Non-Default'!$B73,RATING_DATA!$D:$D,'2| Non-Default'!G$11)</f>
        <v>0</v>
      </c>
      <c r="H73" s="14">
        <f>SUMIFS(RATING_DATA!$E:$E,RATING_DATA!$A:$A,'2| Non-Default'!$C$3,RATING_DATA!$B:$B,'2| Non-Default'!$A73,RATING_DATA!$C:$C,'2| Non-Default'!$B73,RATING_DATA!$D:$D,'2| Non-Default'!H$11)</f>
        <v>0</v>
      </c>
      <c r="I73" s="14">
        <f>SUMIFS(RATING_DATA!$E:$E,RATING_DATA!$A:$A,'2| Non-Default'!$C$3,RATING_DATA!$B:$B,'2| Non-Default'!$A73,RATING_DATA!$C:$C,'2| Non-Default'!$B73,RATING_DATA!$D:$D,'2| Non-Default'!I$11)</f>
        <v>0</v>
      </c>
      <c r="J73" s="14">
        <f>SUMIFS(RATING_DATA!$E:$E,RATING_DATA!$A:$A,'2| Non-Default'!$C$3,RATING_DATA!$B:$B,'2| Non-Default'!$A73,RATING_DATA!$C:$C,'2| Non-Default'!$B73,RATING_DATA!$D:$D,'2| Non-Default'!J$11)</f>
        <v>0</v>
      </c>
      <c r="K73" s="50">
        <f t="shared" si="40"/>
        <v>0</v>
      </c>
      <c r="L73" s="50"/>
      <c r="M73" s="7" t="s">
        <v>9</v>
      </c>
      <c r="N73" s="13" t="str">
        <f t="shared" si="41"/>
        <v/>
      </c>
      <c r="O73" s="13" t="str">
        <f t="shared" si="41"/>
        <v/>
      </c>
      <c r="P73" s="13" t="str">
        <f t="shared" si="41"/>
        <v/>
      </c>
      <c r="Q73" s="13" t="str">
        <f t="shared" si="41"/>
        <v/>
      </c>
      <c r="R73" s="13" t="str">
        <f t="shared" si="41"/>
        <v/>
      </c>
      <c r="S73" s="13" t="str">
        <f t="shared" si="41"/>
        <v/>
      </c>
      <c r="T73" s="13" t="str">
        <f t="shared" si="41"/>
        <v/>
      </c>
      <c r="U73" s="13" t="str">
        <f t="shared" si="41"/>
        <v/>
      </c>
      <c r="W73" s="7" t="s">
        <v>9</v>
      </c>
      <c r="X73" s="15">
        <f>IFERROR(SUM(N73:$U73),"")</f>
        <v>0</v>
      </c>
      <c r="Y73" s="15">
        <f>IFERROR(SUM(O73:$U73),"")</f>
        <v>0</v>
      </c>
      <c r="Z73" s="15">
        <f>IFERROR(SUM(P73:$U73),"")</f>
        <v>0</v>
      </c>
      <c r="AA73" s="15">
        <f>IFERROR(SUM(Q73:$U73),"")</f>
        <v>0</v>
      </c>
      <c r="AB73" s="15">
        <f>IFERROR(SUM(R73:$U73),"")</f>
        <v>0</v>
      </c>
      <c r="AC73" s="15">
        <f>IFERROR(SUM(S73:$U73),"")</f>
        <v>0</v>
      </c>
      <c r="AD73" s="15">
        <f>IFERROR(SUM(T73:$U73),"")</f>
        <v>0</v>
      </c>
      <c r="AE73" s="15">
        <f>IFERROR(SUM(U73:$U73),"")</f>
        <v>0</v>
      </c>
      <c r="AG73" s="7" t="s">
        <v>9</v>
      </c>
      <c r="AH73" s="15">
        <f t="shared" si="38"/>
        <v>0</v>
      </c>
      <c r="AI73" s="15">
        <f t="shared" si="38"/>
        <v>0</v>
      </c>
      <c r="AJ73" s="15">
        <f t="shared" si="38"/>
        <v>0</v>
      </c>
      <c r="AK73" s="15">
        <f t="shared" si="38"/>
        <v>0</v>
      </c>
      <c r="AL73" s="15">
        <f t="shared" si="38"/>
        <v>0</v>
      </c>
      <c r="AM73" s="15">
        <f t="shared" si="38"/>
        <v>0</v>
      </c>
      <c r="AN73" s="15">
        <f t="shared" si="38"/>
        <v>0</v>
      </c>
      <c r="AO73" s="15">
        <f t="shared" si="38"/>
        <v>0</v>
      </c>
      <c r="AP73" s="51">
        <f t="shared" si="44"/>
        <v>-0.4970856415458384</v>
      </c>
      <c r="AR73" s="7" t="s">
        <v>9</v>
      </c>
      <c r="AS73" s="15">
        <f t="shared" si="39"/>
        <v>0</v>
      </c>
      <c r="AT73" s="15">
        <f t="shared" si="39"/>
        <v>0</v>
      </c>
      <c r="AU73" s="15">
        <f t="shared" si="39"/>
        <v>0</v>
      </c>
      <c r="AV73" s="15">
        <f t="shared" si="39"/>
        <v>0</v>
      </c>
      <c r="AW73" s="15">
        <f t="shared" si="39"/>
        <v>0</v>
      </c>
      <c r="AX73" s="15">
        <f t="shared" si="39"/>
        <v>0</v>
      </c>
      <c r="AY73" s="15">
        <f t="shared" si="39"/>
        <v>0</v>
      </c>
      <c r="AZ73" s="15">
        <f t="shared" si="39"/>
        <v>0</v>
      </c>
      <c r="BA73" s="53">
        <f t="shared" si="42"/>
        <v>0</v>
      </c>
    </row>
    <row r="74" spans="1:53" x14ac:dyDescent="0.25">
      <c r="A74" s="10">
        <f t="shared" si="43"/>
        <v>2022</v>
      </c>
      <c r="B74" s="7" t="s">
        <v>10</v>
      </c>
      <c r="C74" s="14">
        <f>SUMIFS(RATING_DATA!$E:$E,RATING_DATA!$A:$A,'2| Non-Default'!$C$3,RATING_DATA!$B:$B,'2| Non-Default'!$A74,RATING_DATA!$C:$C,'2| Non-Default'!$B74,RATING_DATA!$D:$D,'2| Non-Default'!C$11)</f>
        <v>0</v>
      </c>
      <c r="D74" s="14">
        <f>SUMIFS(RATING_DATA!$E:$E,RATING_DATA!$A:$A,'2| Non-Default'!$C$3,RATING_DATA!$B:$B,'2| Non-Default'!$A74,RATING_DATA!$C:$C,'2| Non-Default'!$B74,RATING_DATA!$D:$D,'2| Non-Default'!D$11)</f>
        <v>0</v>
      </c>
      <c r="E74" s="14">
        <f>SUMIFS(RATING_DATA!$E:$E,RATING_DATA!$A:$A,'2| Non-Default'!$C$3,RATING_DATA!$B:$B,'2| Non-Default'!$A74,RATING_DATA!$C:$C,'2| Non-Default'!$B74,RATING_DATA!$D:$D,'2| Non-Default'!E$11)</f>
        <v>0</v>
      </c>
      <c r="F74" s="14">
        <f>SUMIFS(RATING_DATA!$E:$E,RATING_DATA!$A:$A,'2| Non-Default'!$C$3,RATING_DATA!$B:$B,'2| Non-Default'!$A74,RATING_DATA!$C:$C,'2| Non-Default'!$B74,RATING_DATA!$D:$D,'2| Non-Default'!F$11)</f>
        <v>0</v>
      </c>
      <c r="G74" s="14">
        <f>SUMIFS(RATING_DATA!$E:$E,RATING_DATA!$A:$A,'2| Non-Default'!$C$3,RATING_DATA!$B:$B,'2| Non-Default'!$A74,RATING_DATA!$C:$C,'2| Non-Default'!$B74,RATING_DATA!$D:$D,'2| Non-Default'!G$11)</f>
        <v>0</v>
      </c>
      <c r="H74" s="14">
        <f>SUMIFS(RATING_DATA!$E:$E,RATING_DATA!$A:$A,'2| Non-Default'!$C$3,RATING_DATA!$B:$B,'2| Non-Default'!$A74,RATING_DATA!$C:$C,'2| Non-Default'!$B74,RATING_DATA!$D:$D,'2| Non-Default'!H$11)</f>
        <v>0</v>
      </c>
      <c r="I74" s="14">
        <f>SUMIFS(RATING_DATA!$E:$E,RATING_DATA!$A:$A,'2| Non-Default'!$C$3,RATING_DATA!$B:$B,'2| Non-Default'!$A74,RATING_DATA!$C:$C,'2| Non-Default'!$B74,RATING_DATA!$D:$D,'2| Non-Default'!I$11)</f>
        <v>0</v>
      </c>
      <c r="J74" s="14">
        <f>SUMIFS(RATING_DATA!$E:$E,RATING_DATA!$A:$A,'2| Non-Default'!$C$3,RATING_DATA!$B:$B,'2| Non-Default'!$A74,RATING_DATA!$C:$C,'2| Non-Default'!$B74,RATING_DATA!$D:$D,'2| Non-Default'!J$11)</f>
        <v>0</v>
      </c>
      <c r="K74" s="50">
        <f t="shared" si="40"/>
        <v>0</v>
      </c>
      <c r="L74" s="50"/>
      <c r="M74" s="7" t="s">
        <v>10</v>
      </c>
      <c r="N74" s="13" t="str">
        <f t="shared" si="41"/>
        <v/>
      </c>
      <c r="O74" s="13" t="str">
        <f t="shared" si="41"/>
        <v/>
      </c>
      <c r="P74" s="13" t="str">
        <f t="shared" si="41"/>
        <v/>
      </c>
      <c r="Q74" s="13" t="str">
        <f t="shared" si="41"/>
        <v/>
      </c>
      <c r="R74" s="13" t="str">
        <f t="shared" si="41"/>
        <v/>
      </c>
      <c r="S74" s="13" t="str">
        <f t="shared" si="41"/>
        <v/>
      </c>
      <c r="T74" s="13" t="str">
        <f t="shared" si="41"/>
        <v/>
      </c>
      <c r="U74" s="13" t="str">
        <f t="shared" si="41"/>
        <v/>
      </c>
      <c r="W74" s="7" t="s">
        <v>10</v>
      </c>
      <c r="X74" s="15">
        <f>IFERROR(SUM(N74:$U74),"")</f>
        <v>0</v>
      </c>
      <c r="Y74" s="15">
        <f>IFERROR(SUM(O74:$U74),"")</f>
        <v>0</v>
      </c>
      <c r="Z74" s="15">
        <f>IFERROR(SUM(P74:$U74),"")</f>
        <v>0</v>
      </c>
      <c r="AA74" s="15">
        <f>IFERROR(SUM(Q74:$U74),"")</f>
        <v>0</v>
      </c>
      <c r="AB74" s="15">
        <f>IFERROR(SUM(R74:$U74),"")</f>
        <v>0</v>
      </c>
      <c r="AC74" s="15">
        <f>IFERROR(SUM(S74:$U74),"")</f>
        <v>0</v>
      </c>
      <c r="AD74" s="15">
        <f>IFERROR(SUM(T74:$U74),"")</f>
        <v>0</v>
      </c>
      <c r="AE74" s="15">
        <f>IFERROR(SUM(U74:$U74),"")</f>
        <v>0</v>
      </c>
      <c r="AG74" s="7" t="s">
        <v>10</v>
      </c>
      <c r="AH74" s="15">
        <f t="shared" si="38"/>
        <v>0</v>
      </c>
      <c r="AI74" s="15">
        <f t="shared" si="38"/>
        <v>0</v>
      </c>
      <c r="AJ74" s="15">
        <f t="shared" si="38"/>
        <v>0</v>
      </c>
      <c r="AK74" s="15">
        <f t="shared" si="38"/>
        <v>0</v>
      </c>
      <c r="AL74" s="15">
        <f t="shared" si="38"/>
        <v>0</v>
      </c>
      <c r="AM74" s="15">
        <f t="shared" si="38"/>
        <v>0</v>
      </c>
      <c r="AN74" s="15">
        <f t="shared" si="38"/>
        <v>0</v>
      </c>
      <c r="AO74" s="15">
        <f t="shared" si="38"/>
        <v>0</v>
      </c>
      <c r="AP74" s="51">
        <f t="shared" si="44"/>
        <v>-0.4970856415458384</v>
      </c>
      <c r="AR74" s="7" t="s">
        <v>10</v>
      </c>
      <c r="AS74" s="15">
        <f t="shared" si="39"/>
        <v>0</v>
      </c>
      <c r="AT74" s="15">
        <f t="shared" si="39"/>
        <v>0</v>
      </c>
      <c r="AU74" s="15">
        <f t="shared" si="39"/>
        <v>0</v>
      </c>
      <c r="AV74" s="15">
        <f t="shared" si="39"/>
        <v>0</v>
      </c>
      <c r="AW74" s="15">
        <f t="shared" si="39"/>
        <v>0</v>
      </c>
      <c r="AX74" s="15">
        <f t="shared" si="39"/>
        <v>0</v>
      </c>
      <c r="AY74" s="15">
        <f t="shared" si="39"/>
        <v>0</v>
      </c>
      <c r="AZ74" s="15">
        <f t="shared" si="39"/>
        <v>0</v>
      </c>
      <c r="BA74" s="53">
        <f t="shared" si="42"/>
        <v>0</v>
      </c>
    </row>
    <row r="75" spans="1:53" x14ac:dyDescent="0.25">
      <c r="A75" s="10">
        <f t="shared" si="43"/>
        <v>2022</v>
      </c>
      <c r="B75" s="7" t="s">
        <v>11</v>
      </c>
      <c r="C75" s="14">
        <f>SUMIFS(RATING_DATA!$E:$E,RATING_DATA!$A:$A,'2| Non-Default'!$C$3,RATING_DATA!$B:$B,'2| Non-Default'!$A75,RATING_DATA!$C:$C,'2| Non-Default'!$B75,RATING_DATA!$D:$D,'2| Non-Default'!C$11)</f>
        <v>0</v>
      </c>
      <c r="D75" s="14">
        <f>SUMIFS(RATING_DATA!$E:$E,RATING_DATA!$A:$A,'2| Non-Default'!$C$3,RATING_DATA!$B:$B,'2| Non-Default'!$A75,RATING_DATA!$C:$C,'2| Non-Default'!$B75,RATING_DATA!$D:$D,'2| Non-Default'!D$11)</f>
        <v>0</v>
      </c>
      <c r="E75" s="14">
        <f>SUMIFS(RATING_DATA!$E:$E,RATING_DATA!$A:$A,'2| Non-Default'!$C$3,RATING_DATA!$B:$B,'2| Non-Default'!$A75,RATING_DATA!$C:$C,'2| Non-Default'!$B75,RATING_DATA!$D:$D,'2| Non-Default'!E$11)</f>
        <v>0</v>
      </c>
      <c r="F75" s="14">
        <f>SUMIFS(RATING_DATA!$E:$E,RATING_DATA!$A:$A,'2| Non-Default'!$C$3,RATING_DATA!$B:$B,'2| Non-Default'!$A75,RATING_DATA!$C:$C,'2| Non-Default'!$B75,RATING_DATA!$D:$D,'2| Non-Default'!F$11)</f>
        <v>0</v>
      </c>
      <c r="G75" s="14">
        <f>SUMIFS(RATING_DATA!$E:$E,RATING_DATA!$A:$A,'2| Non-Default'!$C$3,RATING_DATA!$B:$B,'2| Non-Default'!$A75,RATING_DATA!$C:$C,'2| Non-Default'!$B75,RATING_DATA!$D:$D,'2| Non-Default'!G$11)</f>
        <v>0</v>
      </c>
      <c r="H75" s="14">
        <f>SUMIFS(RATING_DATA!$E:$E,RATING_DATA!$A:$A,'2| Non-Default'!$C$3,RATING_DATA!$B:$B,'2| Non-Default'!$A75,RATING_DATA!$C:$C,'2| Non-Default'!$B75,RATING_DATA!$D:$D,'2| Non-Default'!H$11)</f>
        <v>0</v>
      </c>
      <c r="I75" s="14">
        <f>SUMIFS(RATING_DATA!$E:$E,RATING_DATA!$A:$A,'2| Non-Default'!$C$3,RATING_DATA!$B:$B,'2| Non-Default'!$A75,RATING_DATA!$C:$C,'2| Non-Default'!$B75,RATING_DATA!$D:$D,'2| Non-Default'!I$11)</f>
        <v>0</v>
      </c>
      <c r="J75" s="14">
        <f>SUMIFS(RATING_DATA!$E:$E,RATING_DATA!$A:$A,'2| Non-Default'!$C$3,RATING_DATA!$B:$B,'2| Non-Default'!$A75,RATING_DATA!$C:$C,'2| Non-Default'!$B75,RATING_DATA!$D:$D,'2| Non-Default'!J$11)</f>
        <v>0</v>
      </c>
      <c r="K75" s="50">
        <f t="shared" si="40"/>
        <v>0</v>
      </c>
      <c r="L75" s="50"/>
      <c r="M75" s="7" t="s">
        <v>11</v>
      </c>
      <c r="N75" s="13" t="str">
        <f t="shared" si="41"/>
        <v/>
      </c>
      <c r="O75" s="13" t="str">
        <f t="shared" si="41"/>
        <v/>
      </c>
      <c r="P75" s="13" t="str">
        <f t="shared" si="41"/>
        <v/>
      </c>
      <c r="Q75" s="13" t="str">
        <f t="shared" si="41"/>
        <v/>
      </c>
      <c r="R75" s="13" t="str">
        <f t="shared" si="41"/>
        <v/>
      </c>
      <c r="S75" s="13" t="str">
        <f t="shared" si="41"/>
        <v/>
      </c>
      <c r="T75" s="13" t="str">
        <f t="shared" si="41"/>
        <v/>
      </c>
      <c r="U75" s="13" t="str">
        <f t="shared" si="41"/>
        <v/>
      </c>
      <c r="W75" s="7" t="s">
        <v>11</v>
      </c>
      <c r="X75" s="15">
        <f>IFERROR(SUM(N75:$U75),"")</f>
        <v>0</v>
      </c>
      <c r="Y75" s="15">
        <f>IFERROR(SUM(O75:$U75),"")</f>
        <v>0</v>
      </c>
      <c r="Z75" s="15">
        <f>IFERROR(SUM(P75:$U75),"")</f>
        <v>0</v>
      </c>
      <c r="AA75" s="15">
        <f>IFERROR(SUM(Q75:$U75),"")</f>
        <v>0</v>
      </c>
      <c r="AB75" s="15">
        <f>IFERROR(SUM(R75:$U75),"")</f>
        <v>0</v>
      </c>
      <c r="AC75" s="15">
        <f>IFERROR(SUM(S75:$U75),"")</f>
        <v>0</v>
      </c>
      <c r="AD75" s="15">
        <f>IFERROR(SUM(T75:$U75),"")</f>
        <v>0</v>
      </c>
      <c r="AE75" s="15">
        <f>IFERROR(SUM(U75:$U75),"")</f>
        <v>0</v>
      </c>
      <c r="AG75" s="7" t="s">
        <v>11</v>
      </c>
      <c r="AH75" s="15">
        <f t="shared" si="38"/>
        <v>0</v>
      </c>
      <c r="AI75" s="15">
        <f t="shared" si="38"/>
        <v>0</v>
      </c>
      <c r="AJ75" s="15">
        <f t="shared" si="38"/>
        <v>0</v>
      </c>
      <c r="AK75" s="15">
        <f t="shared" si="38"/>
        <v>0</v>
      </c>
      <c r="AL75" s="15">
        <f t="shared" si="38"/>
        <v>0</v>
      </c>
      <c r="AM75" s="15">
        <f t="shared" si="38"/>
        <v>0</v>
      </c>
      <c r="AN75" s="15">
        <f t="shared" si="38"/>
        <v>0</v>
      </c>
      <c r="AO75" s="15">
        <f t="shared" si="38"/>
        <v>0</v>
      </c>
      <c r="AP75" s="51">
        <f t="shared" si="44"/>
        <v>-0.4970856415458384</v>
      </c>
      <c r="AR75" s="7" t="s">
        <v>11</v>
      </c>
      <c r="AS75" s="15">
        <f t="shared" si="39"/>
        <v>0</v>
      </c>
      <c r="AT75" s="15">
        <f t="shared" si="39"/>
        <v>0</v>
      </c>
      <c r="AU75" s="15">
        <f t="shared" si="39"/>
        <v>0</v>
      </c>
      <c r="AV75" s="15">
        <f t="shared" si="39"/>
        <v>0</v>
      </c>
      <c r="AW75" s="15">
        <f t="shared" si="39"/>
        <v>0</v>
      </c>
      <c r="AX75" s="15">
        <f t="shared" si="39"/>
        <v>0</v>
      </c>
      <c r="AY75" s="15">
        <f t="shared" si="39"/>
        <v>0</v>
      </c>
      <c r="AZ75" s="15">
        <f t="shared" si="39"/>
        <v>0</v>
      </c>
      <c r="BA75" s="53">
        <f t="shared" si="42"/>
        <v>0</v>
      </c>
    </row>
  </sheetData>
  <conditionalFormatting sqref="BN12:BU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061F-8617-49CB-A29C-29CAA839E841}">
  <sheetPr codeName="Sheet3"/>
  <dimension ref="A1:W166"/>
  <sheetViews>
    <sheetView showGridLines="0" zoomScaleNormal="100" workbookViewId="0">
      <selection activeCell="L13" sqref="L13"/>
    </sheetView>
  </sheetViews>
  <sheetFormatPr defaultColWidth="11.140625" defaultRowHeight="15" x14ac:dyDescent="0.25"/>
  <cols>
    <col min="1" max="1" width="5.140625" style="20" customWidth="1"/>
    <col min="2" max="16384" width="11.140625" style="20"/>
  </cols>
  <sheetData>
    <row r="1" spans="1:16" s="2" customFormat="1" x14ac:dyDescent="0.25">
      <c r="B1" s="1" t="s">
        <v>20</v>
      </c>
    </row>
    <row r="2" spans="1:16" ht="15.75" thickBot="1" x14ac:dyDescent="0.3"/>
    <row r="3" spans="1:16" ht="15.75" thickBot="1" x14ac:dyDescent="0.3">
      <c r="B3" s="12" t="s">
        <v>14</v>
      </c>
      <c r="C3" s="46" t="str">
        <f>'1| Parameter'!$C$3</f>
        <v>Retail</v>
      </c>
    </row>
    <row r="5" spans="1:16" s="3" customFormat="1" x14ac:dyDescent="0.25">
      <c r="B5" s="4" t="s">
        <v>17</v>
      </c>
      <c r="N5" s="52" t="s">
        <v>50</v>
      </c>
    </row>
    <row r="7" spans="1:16" x14ac:dyDescent="0.25"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</row>
    <row r="8" spans="1:16" x14ac:dyDescent="0.25">
      <c r="A8"/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/>
      <c r="N8" s="8" t="s">
        <v>12</v>
      </c>
      <c r="O8" s="9" t="s">
        <v>23</v>
      </c>
      <c r="P8" s="9" t="s">
        <v>24</v>
      </c>
    </row>
    <row r="9" spans="1:16" x14ac:dyDescent="0.25">
      <c r="A9" s="10">
        <v>1</v>
      </c>
      <c r="B9" s="7" t="s">
        <v>3</v>
      </c>
      <c r="C9" s="22">
        <f>AVERAGEIFS('2| Non-Default'!AS:AS,'2| Non-Default'!$AR:$AR,'3| Function'!$B9)</f>
        <v>0</v>
      </c>
      <c r="D9" s="22">
        <f>AVERAGEIFS('2| Non-Default'!AT:AT,'2| Non-Default'!$AR:$AR,'3| Function'!$B9)</f>
        <v>0.2</v>
      </c>
      <c r="E9" s="22">
        <f>AVERAGEIFS('2| Non-Default'!AU:AU,'2| Non-Default'!$AR:$AR,'3| Function'!$B9)</f>
        <v>0</v>
      </c>
      <c r="F9" s="22">
        <f>AVERAGEIFS('2| Non-Default'!AV:AV,'2| Non-Default'!$AR:$AR,'3| Function'!$B9)</f>
        <v>0</v>
      </c>
      <c r="G9" s="22">
        <f>AVERAGEIFS('2| Non-Default'!AW:AW,'2| Non-Default'!$AR:$AR,'3| Function'!$B9)</f>
        <v>0.2</v>
      </c>
      <c r="H9" s="22">
        <f>AVERAGEIFS('2| Non-Default'!AX:AX,'2| Non-Default'!$AR:$AR,'3| Function'!$B9)</f>
        <v>0</v>
      </c>
      <c r="I9" s="22">
        <f>AVERAGEIFS('2| Non-Default'!AY:AY,'2| Non-Default'!$AR:$AR,'3| Function'!$B9)</f>
        <v>0</v>
      </c>
      <c r="J9" s="22">
        <f>AVERAGEIFS('2| Non-Default'!AZ:AZ,'2| Non-Default'!$AR:$AR,'3| Function'!$B9)</f>
        <v>0</v>
      </c>
      <c r="L9" s="10"/>
      <c r="M9" s="10">
        <v>1</v>
      </c>
      <c r="N9" s="7" t="s">
        <v>3</v>
      </c>
      <c r="O9" s="20">
        <f>SUMIFS('2| Non-Default'!$K:$K,'2| Non-Default'!$B:$B,'3| Function'!$N9)</f>
        <v>2</v>
      </c>
      <c r="P9" s="32">
        <f>O9/SUM($O$9:$O$16)</f>
        <v>9.0909090909090905E-3</v>
      </c>
    </row>
    <row r="10" spans="1:16" x14ac:dyDescent="0.25">
      <c r="A10" s="10">
        <v>2</v>
      </c>
      <c r="B10" s="7" t="s">
        <v>5</v>
      </c>
      <c r="C10" s="22">
        <f>AVERAGEIFS('2| Non-Default'!AS:AS,'2| Non-Default'!$AR:$AR,'3| Function'!$B10)</f>
        <v>0</v>
      </c>
      <c r="D10" s="22">
        <f>AVERAGEIFS('2| Non-Default'!AT:AT,'2| Non-Default'!$AR:$AR,'3| Function'!$B10)</f>
        <v>0.34945744875667795</v>
      </c>
      <c r="E10" s="22">
        <f>AVERAGEIFS('2| Non-Default'!AU:AU,'2| Non-Default'!$AR:$AR,'3| Function'!$B10)</f>
        <v>0</v>
      </c>
      <c r="F10" s="22">
        <f>AVERAGEIFS('2| Non-Default'!AV:AV,'2| Non-Default'!$AR:$AR,'3| Function'!$B10)</f>
        <v>0.17507564822261332</v>
      </c>
      <c r="G10" s="22">
        <f>AVERAGEIFS('2| Non-Default'!AW:AW,'2| Non-Default'!$AR:$AR,'3| Function'!$B10)</f>
        <v>7.5466903020708742E-2</v>
      </c>
      <c r="H10" s="22">
        <f>AVERAGEIFS('2| Non-Default'!AX:AX,'2| Non-Default'!$AR:$AR,'3| Function'!$B10)</f>
        <v>0</v>
      </c>
      <c r="I10" s="22">
        <f>AVERAGEIFS('2| Non-Default'!AY:AY,'2| Non-Default'!$AR:$AR,'3| Function'!$B10)</f>
        <v>0</v>
      </c>
      <c r="J10" s="22">
        <f>AVERAGEIFS('2| Non-Default'!AZ:AZ,'2| Non-Default'!$AR:$AR,'3| Function'!$B10)</f>
        <v>0</v>
      </c>
      <c r="L10" s="10"/>
      <c r="M10" s="10">
        <v>2</v>
      </c>
      <c r="N10" s="7" t="s">
        <v>5</v>
      </c>
      <c r="O10" s="20">
        <f>SUMIFS('2| Non-Default'!$K:$K,'2| Non-Default'!$B:$B,'3| Function'!$N10)</f>
        <v>6</v>
      </c>
      <c r="P10" s="32">
        <f t="shared" ref="P10:P16" si="0">O10/SUM($O$9:$O$16)</f>
        <v>2.7272727272727271E-2</v>
      </c>
    </row>
    <row r="11" spans="1:16" x14ac:dyDescent="0.25">
      <c r="A11" s="10">
        <v>3</v>
      </c>
      <c r="B11" s="7" t="s">
        <v>6</v>
      </c>
      <c r="C11" s="22">
        <f>AVERAGEIFS('2| Non-Default'!AS:AS,'2| Non-Default'!$AR:$AR,'3| Function'!$B11)</f>
        <v>0</v>
      </c>
      <c r="D11" s="22">
        <f>AVERAGEIFS('2| Non-Default'!AT:AT,'2| Non-Default'!$AR:$AR,'3| Function'!$B11)</f>
        <v>5.8290631157440223E-2</v>
      </c>
      <c r="E11" s="22">
        <f>AVERAGEIFS('2| Non-Default'!AU:AU,'2| Non-Default'!$AR:$AR,'3| Function'!$B11)</f>
        <v>8.863238299464897E-2</v>
      </c>
      <c r="F11" s="22">
        <f>AVERAGEIFS('2| Non-Default'!AV:AV,'2| Non-Default'!$AR:$AR,'3| Function'!$B11)</f>
        <v>0.36079245915890873</v>
      </c>
      <c r="G11" s="22">
        <f>AVERAGEIFS('2| Non-Default'!AW:AW,'2| Non-Default'!$AR:$AR,'3| Function'!$B11)</f>
        <v>4.6526979654643683E-2</v>
      </c>
      <c r="H11" s="22">
        <f>AVERAGEIFS('2| Non-Default'!AX:AX,'2| Non-Default'!$AR:$AR,'3| Function'!$B11)</f>
        <v>4.5757547034358421E-2</v>
      </c>
      <c r="I11" s="22">
        <f>AVERAGEIFS('2| Non-Default'!AY:AY,'2| Non-Default'!$AR:$AR,'3| Function'!$B11)</f>
        <v>0</v>
      </c>
      <c r="J11" s="22">
        <f>AVERAGEIFS('2| Non-Default'!AZ:AZ,'2| Non-Default'!$AR:$AR,'3| Function'!$B11)</f>
        <v>0</v>
      </c>
      <c r="L11" s="10"/>
      <c r="M11" s="10">
        <v>3</v>
      </c>
      <c r="N11" s="7" t="s">
        <v>6</v>
      </c>
      <c r="O11" s="20">
        <f>SUMIFS('2| Non-Default'!$K:$K,'2| Non-Default'!$B:$B,'3| Function'!$N11)</f>
        <v>9</v>
      </c>
      <c r="P11" s="32">
        <f t="shared" si="0"/>
        <v>4.0909090909090909E-2</v>
      </c>
    </row>
    <row r="12" spans="1:16" x14ac:dyDescent="0.25">
      <c r="A12" s="10">
        <v>4</v>
      </c>
      <c r="B12" s="7" t="s">
        <v>7</v>
      </c>
      <c r="C12" s="22">
        <f>AVERAGEIFS('2| Non-Default'!AS:AS,'2| Non-Default'!$AR:$AR,'3| Function'!$B12)</f>
        <v>0</v>
      </c>
      <c r="D12" s="22">
        <f>AVERAGEIFS('2| Non-Default'!AT:AT,'2| Non-Default'!$AR:$AR,'3| Function'!$B12)</f>
        <v>8.8317322890342401E-2</v>
      </c>
      <c r="E12" s="22">
        <f>AVERAGEIFS('2| Non-Default'!AU:AU,'2| Non-Default'!$AR:$AR,'3| Function'!$B12)</f>
        <v>0</v>
      </c>
      <c r="F12" s="22">
        <f>AVERAGEIFS('2| Non-Default'!AV:AV,'2| Non-Default'!$AR:$AR,'3| Function'!$B12)</f>
        <v>0.20371380439859482</v>
      </c>
      <c r="G12" s="22">
        <f>AVERAGEIFS('2| Non-Default'!AW:AW,'2| Non-Default'!$AR:$AR,'3| Function'!$B12)</f>
        <v>0.43250196969035404</v>
      </c>
      <c r="H12" s="22">
        <f>AVERAGEIFS('2| Non-Default'!AX:AX,'2| Non-Default'!$AR:$AR,'3| Function'!$B12)</f>
        <v>0.14233086656009811</v>
      </c>
      <c r="I12" s="22">
        <f>AVERAGEIFS('2| Non-Default'!AY:AY,'2| Non-Default'!$AR:$AR,'3| Function'!$B12)</f>
        <v>0.11106063301660585</v>
      </c>
      <c r="J12" s="22">
        <f>AVERAGEIFS('2| Non-Default'!AZ:AZ,'2| Non-Default'!$AR:$AR,'3| Function'!$B12)</f>
        <v>2.2075403444004802E-2</v>
      </c>
      <c r="L12" s="10"/>
      <c r="M12" s="10">
        <v>4</v>
      </c>
      <c r="N12" s="7" t="s">
        <v>7</v>
      </c>
      <c r="O12" s="20">
        <f>SUMIFS('2| Non-Default'!$K:$K,'2| Non-Default'!$B:$B,'3| Function'!$N12)</f>
        <v>20</v>
      </c>
      <c r="P12" s="32">
        <f t="shared" si="0"/>
        <v>9.0909090909090912E-2</v>
      </c>
    </row>
    <row r="13" spans="1:16" x14ac:dyDescent="0.25">
      <c r="A13" s="10">
        <v>5</v>
      </c>
      <c r="B13" s="7" t="s">
        <v>8</v>
      </c>
      <c r="C13" s="22">
        <f>AVERAGEIFS('2| Non-Default'!AS:AS,'2| Non-Default'!$AR:$AR,'3| Function'!$B13)</f>
        <v>1.4268330962420061E-2</v>
      </c>
      <c r="D13" s="22">
        <f>AVERAGEIFS('2| Non-Default'!AT:AT,'2| Non-Default'!$AR:$AR,'3| Function'!$B13)</f>
        <v>6.8469968104707318E-2</v>
      </c>
      <c r="E13" s="22">
        <f>AVERAGEIFS('2| Non-Default'!AU:AU,'2| Non-Default'!$AR:$AR,'3| Function'!$B13)</f>
        <v>1.404177861264282E-2</v>
      </c>
      <c r="F13" s="22">
        <f>AVERAGEIFS('2| Non-Default'!AV:AV,'2| Non-Default'!$AR:$AR,'3| Function'!$B13)</f>
        <v>2.8624129550243339E-2</v>
      </c>
      <c r="G13" s="22">
        <f>AVERAGEIFS('2| Non-Default'!AW:AW,'2| Non-Default'!$AR:$AR,'3| Function'!$B13)</f>
        <v>0.33740508171165395</v>
      </c>
      <c r="H13" s="22">
        <f>AVERAGEIFS('2| Non-Default'!AX:AX,'2| Non-Default'!$AR:$AR,'3| Function'!$B13)</f>
        <v>0.15072998154493894</v>
      </c>
      <c r="I13" s="22">
        <f>AVERAGEIFS('2| Non-Default'!AY:AY,'2| Non-Default'!$AR:$AR,'3| Function'!$B13)</f>
        <v>0.13330784550769784</v>
      </c>
      <c r="J13" s="22">
        <f>AVERAGEIFS('2| Non-Default'!AZ:AZ,'2| Non-Default'!$AR:$AR,'3| Function'!$B13)</f>
        <v>5.3152884005695733E-2</v>
      </c>
      <c r="L13" s="10"/>
      <c r="M13" s="10">
        <v>5</v>
      </c>
      <c r="N13" s="7" t="s">
        <v>8</v>
      </c>
      <c r="O13" s="20">
        <f>SUMIFS('2| Non-Default'!$K:$K,'2| Non-Default'!$B:$B,'3| Function'!$N13)</f>
        <v>33</v>
      </c>
      <c r="P13" s="32">
        <f t="shared" si="0"/>
        <v>0.15</v>
      </c>
    </row>
    <row r="14" spans="1:16" x14ac:dyDescent="0.25">
      <c r="A14" s="10">
        <v>6</v>
      </c>
      <c r="B14" s="7" t="s">
        <v>9</v>
      </c>
      <c r="C14" s="22">
        <f>AVERAGEIFS('2| Non-Default'!AS:AS,'2| Non-Default'!$AR:$AR,'3| Function'!$B14)</f>
        <v>0</v>
      </c>
      <c r="D14" s="22">
        <f>AVERAGEIFS('2| Non-Default'!AT:AT,'2| Non-Default'!$AR:$AR,'3| Function'!$B14)</f>
        <v>1.0395982322330166E-2</v>
      </c>
      <c r="E14" s="22">
        <f>AVERAGEIFS('2| Non-Default'!AU:AU,'2| Non-Default'!$AR:$AR,'3| Function'!$B14)</f>
        <v>0</v>
      </c>
      <c r="F14" s="22">
        <f>AVERAGEIFS('2| Non-Default'!AV:AV,'2| Non-Default'!$AR:$AR,'3| Function'!$B14)</f>
        <v>7.9748005293993729E-2</v>
      </c>
      <c r="G14" s="22">
        <f>AVERAGEIFS('2| Non-Default'!AW:AW,'2| Non-Default'!$AR:$AR,'3| Function'!$B14)</f>
        <v>9.2633718422592048E-2</v>
      </c>
      <c r="H14" s="22">
        <f>AVERAGEIFS('2| Non-Default'!AX:AX,'2| Non-Default'!$AR:$AR,'3| Function'!$B14)</f>
        <v>0.35851854459921129</v>
      </c>
      <c r="I14" s="22">
        <f>AVERAGEIFS('2| Non-Default'!AY:AY,'2| Non-Default'!$AR:$AR,'3| Function'!$B14)</f>
        <v>0.1555567488272597</v>
      </c>
      <c r="J14" s="22">
        <f>AVERAGEIFS('2| Non-Default'!AZ:AZ,'2| Non-Default'!$AR:$AR,'3| Function'!$B14)</f>
        <v>0.10314700053461308</v>
      </c>
      <c r="L14" s="10"/>
      <c r="M14" s="10">
        <v>6</v>
      </c>
      <c r="N14" s="7" t="s">
        <v>9</v>
      </c>
      <c r="O14" s="20">
        <f>SUMIFS('2| Non-Default'!$K:$K,'2| Non-Default'!$B:$B,'3| Function'!$N14)</f>
        <v>65</v>
      </c>
      <c r="P14" s="32">
        <f t="shared" si="0"/>
        <v>0.29545454545454547</v>
      </c>
    </row>
    <row r="15" spans="1:16" x14ac:dyDescent="0.25">
      <c r="A15" s="10">
        <v>7</v>
      </c>
      <c r="B15" s="7" t="s">
        <v>10</v>
      </c>
      <c r="C15" s="22">
        <f>AVERAGEIFS('2| Non-Default'!AS:AS,'2| Non-Default'!$AR:$AR,'3| Function'!$B15)</f>
        <v>0</v>
      </c>
      <c r="D15" s="22">
        <f>AVERAGEIFS('2| Non-Default'!AT:AT,'2| Non-Default'!$AR:$AR,'3| Function'!$B15)</f>
        <v>0</v>
      </c>
      <c r="E15" s="22">
        <f>AVERAGEIFS('2| Non-Default'!AU:AU,'2| Non-Default'!$AR:$AR,'3| Function'!$B15)</f>
        <v>0</v>
      </c>
      <c r="F15" s="22">
        <f>AVERAGEIFS('2| Non-Default'!AV:AV,'2| Non-Default'!$AR:$AR,'3| Function'!$B15)</f>
        <v>5.0276361951968565E-2</v>
      </c>
      <c r="G15" s="22">
        <f>AVERAGEIFS('2| Non-Default'!AW:AW,'2| Non-Default'!$AR:$AR,'3| Function'!$B15)</f>
        <v>7.1661240611876259E-2</v>
      </c>
      <c r="H15" s="22">
        <f>AVERAGEIFS('2| Non-Default'!AX:AX,'2| Non-Default'!$AR:$AR,'3| Function'!$B15)</f>
        <v>0.2852055164720429</v>
      </c>
      <c r="I15" s="22">
        <f>AVERAGEIFS('2| Non-Default'!AY:AY,'2| Non-Default'!$AR:$AR,'3| Function'!$B15)</f>
        <v>0.2058581946687732</v>
      </c>
      <c r="J15" s="22">
        <f>AVERAGEIFS('2| Non-Default'!AZ:AZ,'2| Non-Default'!$AR:$AR,'3| Function'!$B15)</f>
        <v>0.18699868629533917</v>
      </c>
      <c r="L15" s="10"/>
      <c r="M15" s="10">
        <v>7</v>
      </c>
      <c r="N15" s="7" t="s">
        <v>10</v>
      </c>
      <c r="O15" s="20">
        <f>SUMIFS('2| Non-Default'!$K:$K,'2| Non-Default'!$B:$B,'3| Function'!$N15)</f>
        <v>37</v>
      </c>
      <c r="P15" s="32">
        <f t="shared" si="0"/>
        <v>0.16818181818181818</v>
      </c>
    </row>
    <row r="16" spans="1:16" x14ac:dyDescent="0.25">
      <c r="A16" s="10">
        <v>8</v>
      </c>
      <c r="B16" s="7" t="s">
        <v>11</v>
      </c>
      <c r="C16" s="22">
        <f>AVERAGEIFS('2| Non-Default'!AS:AS,'2| Non-Default'!$AR:$AR,'3| Function'!$B16)</f>
        <v>0</v>
      </c>
      <c r="D16" s="22">
        <f>AVERAGEIFS('2| Non-Default'!AT:AT,'2| Non-Default'!$AR:$AR,'3| Function'!$B16)</f>
        <v>0</v>
      </c>
      <c r="E16" s="22">
        <f>AVERAGEIFS('2| Non-Default'!AU:AU,'2| Non-Default'!$AR:$AR,'3| Function'!$B16)</f>
        <v>0</v>
      </c>
      <c r="F16" s="22">
        <f>AVERAGEIFS('2| Non-Default'!AV:AV,'2| Non-Default'!$AR:$AR,'3| Function'!$B16)</f>
        <v>0</v>
      </c>
      <c r="G16" s="22">
        <f>AVERAGEIFS('2| Non-Default'!AW:AW,'2| Non-Default'!$AR:$AR,'3| Function'!$B16)</f>
        <v>0.10814046572118952</v>
      </c>
      <c r="H16" s="22">
        <f>AVERAGEIFS('2| Non-Default'!AX:AX,'2| Non-Default'!$AR:$AR,'3| Function'!$B16)</f>
        <v>9.5004416038901307E-2</v>
      </c>
      <c r="I16" s="22">
        <f>AVERAGEIFS('2| Non-Default'!AY:AY,'2| Non-Default'!$AR:$AR,'3| Function'!$B16)</f>
        <v>0.12575450124782886</v>
      </c>
      <c r="J16" s="22">
        <f>AVERAGEIFS('2| Non-Default'!AZ:AZ,'2| Non-Default'!$AR:$AR,'3| Function'!$B16)</f>
        <v>0.47110061699208028</v>
      </c>
      <c r="L16" s="10"/>
      <c r="M16" s="10">
        <v>8</v>
      </c>
      <c r="N16" s="7" t="s">
        <v>11</v>
      </c>
      <c r="O16" s="20">
        <f>SUMIFS('2| Non-Default'!$K:$K,'2| Non-Default'!$B:$B,'3| Function'!$N16)</f>
        <v>48</v>
      </c>
      <c r="P16" s="32">
        <f t="shared" si="0"/>
        <v>0.21818181818181817</v>
      </c>
    </row>
    <row r="17" spans="1:23" x14ac:dyDescent="0.25">
      <c r="B17" s="24"/>
    </row>
    <row r="18" spans="1:23" s="3" customFormat="1" x14ac:dyDescent="0.25">
      <c r="B18" s="4" t="s">
        <v>52</v>
      </c>
      <c r="N18" s="4" t="s">
        <v>53</v>
      </c>
    </row>
    <row r="19" spans="1:23" x14ac:dyDescent="0.25">
      <c r="B19" s="19"/>
    </row>
    <row r="20" spans="1:23" x14ac:dyDescent="0.25">
      <c r="B20" s="5" t="s">
        <v>21</v>
      </c>
      <c r="C20" s="5">
        <f>ROUND(MEDIAN(A9:A16),0)</f>
        <v>5</v>
      </c>
    </row>
    <row r="21" spans="1:23" x14ac:dyDescent="0.25">
      <c r="B21" s="24"/>
    </row>
    <row r="22" spans="1:23" x14ac:dyDescent="0.25">
      <c r="B22" s="8" t="s">
        <v>12</v>
      </c>
      <c r="C22" s="9">
        <f>C20-1</f>
        <v>4</v>
      </c>
      <c r="D22" s="9">
        <f>C22-1</f>
        <v>3</v>
      </c>
      <c r="E22" s="9">
        <f t="shared" ref="E22:K22" si="1">D22-1</f>
        <v>2</v>
      </c>
      <c r="F22" s="9">
        <f t="shared" si="1"/>
        <v>1</v>
      </c>
      <c r="G22" s="9">
        <f t="shared" si="1"/>
        <v>0</v>
      </c>
      <c r="H22" s="9">
        <f t="shared" si="1"/>
        <v>-1</v>
      </c>
      <c r="I22" s="9">
        <f t="shared" si="1"/>
        <v>-2</v>
      </c>
      <c r="J22" s="9">
        <f t="shared" si="1"/>
        <v>-3</v>
      </c>
      <c r="K22" s="9">
        <f t="shared" si="1"/>
        <v>-4</v>
      </c>
      <c r="N22" s="8" t="s">
        <v>12</v>
      </c>
      <c r="O22" s="9">
        <v>4</v>
      </c>
      <c r="P22" s="9">
        <v>3</v>
      </c>
      <c r="Q22" s="9">
        <v>2</v>
      </c>
      <c r="R22" s="9">
        <v>1</v>
      </c>
      <c r="S22" s="9">
        <v>0</v>
      </c>
      <c r="T22" s="9">
        <v>-1</v>
      </c>
      <c r="U22" s="9">
        <v>-2</v>
      </c>
      <c r="V22" s="9">
        <v>-3</v>
      </c>
      <c r="W22" s="9">
        <v>-4</v>
      </c>
    </row>
    <row r="23" spans="1:23" x14ac:dyDescent="0.25">
      <c r="A23" s="10">
        <v>1</v>
      </c>
      <c r="B23" s="7" t="s">
        <v>3</v>
      </c>
      <c r="C23" s="23" t="str">
        <f t="shared" ref="C23:H30" ca="1" si="2">IF(OR($A23-C$22&lt;=0,$A23-C$22&gt;MAX($A$9:$A$16)),"",IF(OR(OFFSET(F$9,$A23-1,$A23-$A$30)="",OFFSET(F$9,$A23-1,$A23-$A$30)=0),"",OFFSET(F$9,$A23-1,$A23-$A$30)))</f>
        <v/>
      </c>
      <c r="D23" s="23" t="str">
        <f t="shared" ca="1" si="2"/>
        <v/>
      </c>
      <c r="E23" s="23" t="str">
        <f t="shared" ca="1" si="2"/>
        <v/>
      </c>
      <c r="F23" s="23" t="str">
        <f t="shared" ca="1" si="2"/>
        <v/>
      </c>
      <c r="G23" s="23" t="str">
        <f t="shared" ca="1" si="2"/>
        <v/>
      </c>
      <c r="H23" s="23">
        <f t="shared" ca="1" si="2"/>
        <v>0.2</v>
      </c>
      <c r="I23" s="23" t="str">
        <f t="shared" ref="I23:K30" ca="1" si="3">IF(OR($A23-I$22&lt;=0,$A23-I$22&gt;MAX($A$9:$A$16)),"",IF(OR(OFFSET(L$9,$A23-1,$A23-$A$30)="",OFFSET(L$9,$A23-1,$A23-$A$30)=0),"",OFFSET(L$9,$A23-1,$A23-$A$30)))</f>
        <v/>
      </c>
      <c r="J23" s="23" t="str">
        <f t="shared" ca="1" si="3"/>
        <v/>
      </c>
      <c r="K23" s="23">
        <f t="shared" ca="1" si="3"/>
        <v>0.2</v>
      </c>
      <c r="M23" s="10">
        <v>1</v>
      </c>
      <c r="N23" s="7" t="s">
        <v>3</v>
      </c>
      <c r="O23" s="20" t="str">
        <f ca="1">IF(C23="","",VLOOKUP($N23,$N$9:$O$16,2,FALSE))</f>
        <v/>
      </c>
      <c r="P23" s="20" t="str">
        <f t="shared" ref="P23:W30" ca="1" si="4">IF(D23="","",VLOOKUP($N23,$N$9:$O$16,2,FALSE))</f>
        <v/>
      </c>
      <c r="Q23" s="20" t="str">
        <f t="shared" ca="1" si="4"/>
        <v/>
      </c>
      <c r="R23" s="20" t="str">
        <f t="shared" ca="1" si="4"/>
        <v/>
      </c>
      <c r="S23" s="20" t="str">
        <f t="shared" ca="1" si="4"/>
        <v/>
      </c>
      <c r="T23" s="20">
        <f t="shared" ca="1" si="4"/>
        <v>2</v>
      </c>
      <c r="U23" s="20" t="str">
        <f t="shared" ca="1" si="4"/>
        <v/>
      </c>
      <c r="V23" s="20" t="str">
        <f t="shared" ca="1" si="4"/>
        <v/>
      </c>
      <c r="W23" s="20">
        <f t="shared" ca="1" si="4"/>
        <v>2</v>
      </c>
    </row>
    <row r="24" spans="1:23" x14ac:dyDescent="0.25">
      <c r="A24" s="10">
        <v>2</v>
      </c>
      <c r="B24" s="7" t="s">
        <v>5</v>
      </c>
      <c r="C24" s="23" t="str">
        <f t="shared" ca="1" si="2"/>
        <v/>
      </c>
      <c r="D24" s="23" t="str">
        <f t="shared" ca="1" si="2"/>
        <v/>
      </c>
      <c r="E24" s="23" t="str">
        <f t="shared" ca="1" si="2"/>
        <v/>
      </c>
      <c r="F24" s="23" t="str">
        <f t="shared" ca="1" si="2"/>
        <v/>
      </c>
      <c r="G24" s="23">
        <f t="shared" ca="1" si="2"/>
        <v>0.34945744875667795</v>
      </c>
      <c r="H24" s="23" t="str">
        <f t="shared" ca="1" si="2"/>
        <v/>
      </c>
      <c r="I24" s="23">
        <f t="shared" ca="1" si="3"/>
        <v>0.17507564822261332</v>
      </c>
      <c r="J24" s="23">
        <f t="shared" ca="1" si="3"/>
        <v>7.5466903020708742E-2</v>
      </c>
      <c r="K24" s="23" t="str">
        <f t="shared" ca="1" si="3"/>
        <v/>
      </c>
      <c r="M24" s="10">
        <v>2</v>
      </c>
      <c r="N24" s="7" t="s">
        <v>5</v>
      </c>
      <c r="O24" s="20" t="str">
        <f t="shared" ref="O24:O30" ca="1" si="5">IF(C24="","",VLOOKUP($N24,$N$9:$O$16,2,FALSE))</f>
        <v/>
      </c>
      <c r="P24" s="20" t="str">
        <f t="shared" ca="1" si="4"/>
        <v/>
      </c>
      <c r="Q24" s="20" t="str">
        <f t="shared" ca="1" si="4"/>
        <v/>
      </c>
      <c r="R24" s="20" t="str">
        <f t="shared" ca="1" si="4"/>
        <v/>
      </c>
      <c r="S24" s="20">
        <f t="shared" ca="1" si="4"/>
        <v>6</v>
      </c>
      <c r="T24" s="20" t="str">
        <f t="shared" ca="1" si="4"/>
        <v/>
      </c>
      <c r="U24" s="20">
        <f t="shared" ca="1" si="4"/>
        <v>6</v>
      </c>
      <c r="V24" s="20">
        <f t="shared" ca="1" si="4"/>
        <v>6</v>
      </c>
      <c r="W24" s="20" t="str">
        <f t="shared" ca="1" si="4"/>
        <v/>
      </c>
    </row>
    <row r="25" spans="1:23" x14ac:dyDescent="0.25">
      <c r="A25" s="10">
        <v>3</v>
      </c>
      <c r="B25" s="7" t="s">
        <v>6</v>
      </c>
      <c r="C25" s="23" t="str">
        <f t="shared" ca="1" si="2"/>
        <v/>
      </c>
      <c r="D25" s="23" t="str">
        <f t="shared" ca="1" si="2"/>
        <v/>
      </c>
      <c r="E25" s="23" t="str">
        <f t="shared" ca="1" si="2"/>
        <v/>
      </c>
      <c r="F25" s="23">
        <f t="shared" ca="1" si="2"/>
        <v>5.8290631157440223E-2</v>
      </c>
      <c r="G25" s="23">
        <f t="shared" ca="1" si="2"/>
        <v>8.863238299464897E-2</v>
      </c>
      <c r="H25" s="23">
        <f t="shared" ca="1" si="2"/>
        <v>0.36079245915890873</v>
      </c>
      <c r="I25" s="23">
        <f t="shared" ca="1" si="3"/>
        <v>4.6526979654643683E-2</v>
      </c>
      <c r="J25" s="23">
        <f t="shared" ca="1" si="3"/>
        <v>4.5757547034358421E-2</v>
      </c>
      <c r="K25" s="23" t="str">
        <f t="shared" ca="1" si="3"/>
        <v/>
      </c>
      <c r="M25" s="10">
        <v>3</v>
      </c>
      <c r="N25" s="7" t="s">
        <v>6</v>
      </c>
      <c r="O25" s="20" t="str">
        <f t="shared" ca="1" si="5"/>
        <v/>
      </c>
      <c r="P25" s="20" t="str">
        <f t="shared" ca="1" si="4"/>
        <v/>
      </c>
      <c r="Q25" s="20" t="str">
        <f t="shared" ca="1" si="4"/>
        <v/>
      </c>
      <c r="R25" s="20">
        <f t="shared" ca="1" si="4"/>
        <v>9</v>
      </c>
      <c r="S25" s="20">
        <f t="shared" ca="1" si="4"/>
        <v>9</v>
      </c>
      <c r="T25" s="20">
        <f t="shared" ca="1" si="4"/>
        <v>9</v>
      </c>
      <c r="U25" s="20">
        <f t="shared" ca="1" si="4"/>
        <v>9</v>
      </c>
      <c r="V25" s="20">
        <f t="shared" ca="1" si="4"/>
        <v>9</v>
      </c>
      <c r="W25" s="20" t="str">
        <f t="shared" ca="1" si="4"/>
        <v/>
      </c>
    </row>
    <row r="26" spans="1:23" x14ac:dyDescent="0.25">
      <c r="A26" s="10">
        <v>4</v>
      </c>
      <c r="B26" s="7" t="s">
        <v>7</v>
      </c>
      <c r="C26" s="23" t="str">
        <f t="shared" ca="1" si="2"/>
        <v/>
      </c>
      <c r="D26" s="23" t="str">
        <f t="shared" ca="1" si="2"/>
        <v/>
      </c>
      <c r="E26" s="23">
        <f t="shared" ca="1" si="2"/>
        <v>8.8317322890342401E-2</v>
      </c>
      <c r="F26" s="23" t="str">
        <f t="shared" ca="1" si="2"/>
        <v/>
      </c>
      <c r="G26" s="23">
        <f t="shared" ca="1" si="2"/>
        <v>0.20371380439859482</v>
      </c>
      <c r="H26" s="23">
        <f t="shared" ca="1" si="2"/>
        <v>0.43250196969035404</v>
      </c>
      <c r="I26" s="23">
        <f t="shared" ca="1" si="3"/>
        <v>0.14233086656009811</v>
      </c>
      <c r="J26" s="23">
        <f t="shared" ca="1" si="3"/>
        <v>0.11106063301660585</v>
      </c>
      <c r="K26" s="23">
        <f t="shared" ca="1" si="3"/>
        <v>2.2075403444004802E-2</v>
      </c>
      <c r="M26" s="10">
        <v>4</v>
      </c>
      <c r="N26" s="7" t="s">
        <v>7</v>
      </c>
      <c r="O26" s="20" t="str">
        <f t="shared" ca="1" si="5"/>
        <v/>
      </c>
      <c r="P26" s="20" t="str">
        <f t="shared" ca="1" si="4"/>
        <v/>
      </c>
      <c r="Q26" s="20">
        <f t="shared" ca="1" si="4"/>
        <v>20</v>
      </c>
      <c r="R26" s="20" t="str">
        <f t="shared" ca="1" si="4"/>
        <v/>
      </c>
      <c r="S26" s="20">
        <f t="shared" ca="1" si="4"/>
        <v>20</v>
      </c>
      <c r="T26" s="20">
        <f t="shared" ca="1" si="4"/>
        <v>20</v>
      </c>
      <c r="U26" s="20">
        <f t="shared" ca="1" si="4"/>
        <v>20</v>
      </c>
      <c r="V26" s="20">
        <f t="shared" ca="1" si="4"/>
        <v>20</v>
      </c>
      <c r="W26" s="20">
        <f t="shared" ca="1" si="4"/>
        <v>20</v>
      </c>
    </row>
    <row r="27" spans="1:23" x14ac:dyDescent="0.25">
      <c r="A27" s="10">
        <v>5</v>
      </c>
      <c r="B27" s="7" t="s">
        <v>8</v>
      </c>
      <c r="C27" s="23">
        <f t="shared" ca="1" si="2"/>
        <v>1.4268330962420061E-2</v>
      </c>
      <c r="D27" s="23">
        <f t="shared" ca="1" si="2"/>
        <v>6.8469968104707318E-2</v>
      </c>
      <c r="E27" s="23">
        <f t="shared" ca="1" si="2"/>
        <v>1.404177861264282E-2</v>
      </c>
      <c r="F27" s="23">
        <f t="shared" ca="1" si="2"/>
        <v>2.8624129550243339E-2</v>
      </c>
      <c r="G27" s="23">
        <f t="shared" ca="1" si="2"/>
        <v>0.33740508171165395</v>
      </c>
      <c r="H27" s="23">
        <f t="shared" ca="1" si="2"/>
        <v>0.15072998154493894</v>
      </c>
      <c r="I27" s="23">
        <f t="shared" ca="1" si="3"/>
        <v>0.13330784550769784</v>
      </c>
      <c r="J27" s="23">
        <f t="shared" ca="1" si="3"/>
        <v>5.3152884005695733E-2</v>
      </c>
      <c r="K27" s="23" t="str">
        <f t="shared" ca="1" si="3"/>
        <v/>
      </c>
      <c r="M27" s="10">
        <v>5</v>
      </c>
      <c r="N27" s="7" t="s">
        <v>8</v>
      </c>
      <c r="O27" s="20">
        <f t="shared" ca="1" si="5"/>
        <v>33</v>
      </c>
      <c r="P27" s="20">
        <f t="shared" ca="1" si="4"/>
        <v>33</v>
      </c>
      <c r="Q27" s="20">
        <f t="shared" ca="1" si="4"/>
        <v>33</v>
      </c>
      <c r="R27" s="20">
        <f t="shared" ca="1" si="4"/>
        <v>33</v>
      </c>
      <c r="S27" s="20">
        <f t="shared" ca="1" si="4"/>
        <v>33</v>
      </c>
      <c r="T27" s="20">
        <f t="shared" ca="1" si="4"/>
        <v>33</v>
      </c>
      <c r="U27" s="20">
        <f t="shared" ca="1" si="4"/>
        <v>33</v>
      </c>
      <c r="V27" s="20">
        <f t="shared" ca="1" si="4"/>
        <v>33</v>
      </c>
      <c r="W27" s="20" t="str">
        <f t="shared" ca="1" si="4"/>
        <v/>
      </c>
    </row>
    <row r="28" spans="1:23" x14ac:dyDescent="0.25">
      <c r="A28" s="10">
        <v>6</v>
      </c>
      <c r="B28" s="7" t="s">
        <v>9</v>
      </c>
      <c r="C28" s="23">
        <f t="shared" ca="1" si="2"/>
        <v>1.0395982322330166E-2</v>
      </c>
      <c r="D28" s="23" t="str">
        <f t="shared" ca="1" si="2"/>
        <v/>
      </c>
      <c r="E28" s="23">
        <f t="shared" ca="1" si="2"/>
        <v>7.9748005293993729E-2</v>
      </c>
      <c r="F28" s="23">
        <f t="shared" ca="1" si="2"/>
        <v>9.2633718422592048E-2</v>
      </c>
      <c r="G28" s="23">
        <f t="shared" ca="1" si="2"/>
        <v>0.35851854459921129</v>
      </c>
      <c r="H28" s="23">
        <f t="shared" ca="1" si="2"/>
        <v>0.1555567488272597</v>
      </c>
      <c r="I28" s="23">
        <f t="shared" ca="1" si="3"/>
        <v>0.10314700053461308</v>
      </c>
      <c r="J28" s="23" t="str">
        <f t="shared" ca="1" si="3"/>
        <v/>
      </c>
      <c r="K28" s="23" t="str">
        <f t="shared" ca="1" si="3"/>
        <v/>
      </c>
      <c r="M28" s="10">
        <v>6</v>
      </c>
      <c r="N28" s="7" t="s">
        <v>9</v>
      </c>
      <c r="O28" s="20">
        <f t="shared" ca="1" si="5"/>
        <v>65</v>
      </c>
      <c r="P28" s="20" t="str">
        <f t="shared" ca="1" si="4"/>
        <v/>
      </c>
      <c r="Q28" s="20">
        <f t="shared" ca="1" si="4"/>
        <v>65</v>
      </c>
      <c r="R28" s="20">
        <f t="shared" ca="1" si="4"/>
        <v>65</v>
      </c>
      <c r="S28" s="20">
        <f t="shared" ca="1" si="4"/>
        <v>65</v>
      </c>
      <c r="T28" s="20">
        <f t="shared" ca="1" si="4"/>
        <v>65</v>
      </c>
      <c r="U28" s="20">
        <f t="shared" ca="1" si="4"/>
        <v>65</v>
      </c>
      <c r="V28" s="20" t="str">
        <f t="shared" ca="1" si="4"/>
        <v/>
      </c>
      <c r="W28" s="20" t="str">
        <f t="shared" ca="1" si="4"/>
        <v/>
      </c>
    </row>
    <row r="29" spans="1:23" x14ac:dyDescent="0.25">
      <c r="A29" s="10">
        <v>7</v>
      </c>
      <c r="B29" s="7" t="s">
        <v>10</v>
      </c>
      <c r="C29" s="23" t="str">
        <f t="shared" ca="1" si="2"/>
        <v/>
      </c>
      <c r="D29" s="23">
        <f t="shared" ca="1" si="2"/>
        <v>5.0276361951968565E-2</v>
      </c>
      <c r="E29" s="23">
        <f t="shared" ca="1" si="2"/>
        <v>7.1661240611876259E-2</v>
      </c>
      <c r="F29" s="23">
        <f t="shared" ca="1" si="2"/>
        <v>0.2852055164720429</v>
      </c>
      <c r="G29" s="23">
        <f t="shared" ca="1" si="2"/>
        <v>0.2058581946687732</v>
      </c>
      <c r="H29" s="23">
        <f t="shared" ca="1" si="2"/>
        <v>0.18699868629533917</v>
      </c>
      <c r="I29" s="23" t="str">
        <f t="shared" ca="1" si="3"/>
        <v/>
      </c>
      <c r="J29" s="23" t="str">
        <f t="shared" ca="1" si="3"/>
        <v/>
      </c>
      <c r="K29" s="23" t="str">
        <f t="shared" ca="1" si="3"/>
        <v/>
      </c>
      <c r="M29" s="10">
        <v>7</v>
      </c>
      <c r="N29" s="7" t="s">
        <v>10</v>
      </c>
      <c r="O29" s="20" t="str">
        <f t="shared" ca="1" si="5"/>
        <v/>
      </c>
      <c r="P29" s="20">
        <f t="shared" ca="1" si="4"/>
        <v>37</v>
      </c>
      <c r="Q29" s="20">
        <f t="shared" ca="1" si="4"/>
        <v>37</v>
      </c>
      <c r="R29" s="20">
        <f t="shared" ca="1" si="4"/>
        <v>37</v>
      </c>
      <c r="S29" s="20">
        <f t="shared" ca="1" si="4"/>
        <v>37</v>
      </c>
      <c r="T29" s="20">
        <f t="shared" ca="1" si="4"/>
        <v>37</v>
      </c>
      <c r="U29" s="20" t="str">
        <f t="shared" ca="1" si="4"/>
        <v/>
      </c>
      <c r="V29" s="20" t="str">
        <f t="shared" ca="1" si="4"/>
        <v/>
      </c>
      <c r="W29" s="20" t="str">
        <f t="shared" ca="1" si="4"/>
        <v/>
      </c>
    </row>
    <row r="30" spans="1:23" x14ac:dyDescent="0.25">
      <c r="A30" s="10">
        <v>8</v>
      </c>
      <c r="B30" s="7" t="s">
        <v>11</v>
      </c>
      <c r="C30" s="23" t="str">
        <f t="shared" ca="1" si="2"/>
        <v/>
      </c>
      <c r="D30" s="23">
        <f t="shared" ca="1" si="2"/>
        <v>0.10814046572118952</v>
      </c>
      <c r="E30" s="23">
        <f t="shared" ca="1" si="2"/>
        <v>9.5004416038901307E-2</v>
      </c>
      <c r="F30" s="23">
        <f t="shared" ca="1" si="2"/>
        <v>0.12575450124782886</v>
      </c>
      <c r="G30" s="23">
        <f t="shared" ca="1" si="2"/>
        <v>0.47110061699208028</v>
      </c>
      <c r="H30" s="23" t="str">
        <f t="shared" ca="1" si="2"/>
        <v/>
      </c>
      <c r="I30" s="23" t="str">
        <f t="shared" ca="1" si="3"/>
        <v/>
      </c>
      <c r="J30" s="23" t="str">
        <f t="shared" ca="1" si="3"/>
        <v/>
      </c>
      <c r="K30" s="23" t="str">
        <f t="shared" ca="1" si="3"/>
        <v/>
      </c>
      <c r="M30" s="10">
        <v>8</v>
      </c>
      <c r="N30" s="7" t="s">
        <v>11</v>
      </c>
      <c r="O30" s="20" t="str">
        <f t="shared" ca="1" si="5"/>
        <v/>
      </c>
      <c r="P30" s="20">
        <f t="shared" ca="1" si="4"/>
        <v>48</v>
      </c>
      <c r="Q30" s="20">
        <f t="shared" ca="1" si="4"/>
        <v>48</v>
      </c>
      <c r="R30" s="20">
        <f t="shared" ca="1" si="4"/>
        <v>48</v>
      </c>
      <c r="S30" s="20">
        <f t="shared" ca="1" si="4"/>
        <v>48</v>
      </c>
      <c r="T30" s="20" t="str">
        <f t="shared" ca="1" si="4"/>
        <v/>
      </c>
      <c r="U30" s="20" t="str">
        <f t="shared" ca="1" si="4"/>
        <v/>
      </c>
      <c r="V30" s="20" t="str">
        <f t="shared" ca="1" si="4"/>
        <v/>
      </c>
      <c r="W30" s="20" t="str">
        <f t="shared" ca="1" si="4"/>
        <v/>
      </c>
    </row>
    <row r="31" spans="1:23" x14ac:dyDescent="0.25">
      <c r="A31" s="21"/>
    </row>
    <row r="32" spans="1:23" x14ac:dyDescent="0.25">
      <c r="B32" s="17" t="s">
        <v>51</v>
      </c>
      <c r="C32" s="33" cm="1">
        <f t="array" aca="1" ref="C32" ca="1">SUMPRODUCT(--($B$23:$B$30=$N$23:$N$30),C$23:C$30,O$23:O$30)/SUM(O$23:O$30)</f>
        <v>1.1699936456237989E-2</v>
      </c>
      <c r="D32" s="33" cm="1">
        <f t="array" aca="1" ref="D32" ca="1">SUMPRODUCT(--($B$23:$B$30=$N$23:$N$30),D$23:D$30,P$23:P$30)/SUM(P$23:P$30)</f>
        <v>7.8902344866909113E-2</v>
      </c>
      <c r="E32" s="33" cm="1">
        <f t="array" aca="1" ref="E32" ca="1">SUMPRODUCT(--($B$23:$B$30=$N$23:$N$30),E$23:E$30,Q$23:Q$30)/SUM(Q$23:Q$30)</f>
        <v>7.2044450091824322E-2</v>
      </c>
      <c r="F32" s="33" cm="1">
        <f t="array" aca="1" ref="F32" ca="1">SUMPRODUCT(--($B$23:$B$30=$N$23:$N$30),F$23:F$30,R$23:R$30)/SUM(R$23:R$30)</f>
        <v>0.12541262407502526</v>
      </c>
      <c r="G32" s="33" cm="1">
        <f t="array" aca="1" ref="G32" ca="1">SUMPRODUCT(--($B$23:$B$30=$N$23:$N$30),G$23:G$30,S$23:S$30)/SUM(S$23:S$30)</f>
        <v>0.32860719330853938</v>
      </c>
      <c r="H32" s="33" cm="1">
        <f t="array" aca="1" ref="H32" ca="1">SUMPRODUCT(--($B$23:$B$30=$N$23:$N$30),H$23:H$30,T$23:T$30)/SUM(T$23:T$30)</f>
        <v>0.20663494568626306</v>
      </c>
      <c r="I32" s="33" cm="1">
        <f t="array" aca="1" ref="I32" ca="1">SUMPRODUCT(--($B$23:$B$30=$N$23:$N$30),I$23:I$30,U$23:U$30)/SUM(U$23:U$30)</f>
        <v>0.11593630055588959</v>
      </c>
      <c r="J32" s="33" cm="1">
        <f t="array" aca="1" ref="J32" ca="1">SUMPRODUCT(--($B$23:$B$30=$N$23:$N$30),J$23:J$30,V$23:V$30)/SUM(V$23:V$30)</f>
        <v>7.1174664322846387E-2</v>
      </c>
      <c r="K32" s="33" cm="1">
        <f t="array" aca="1" ref="K32" ca="1">SUMPRODUCT(--($B$23:$B$30=$N$23:$N$30),K$23:K$30,W$23:W$30)/SUM(W$23:W$30)</f>
        <v>3.825036676727709E-2</v>
      </c>
    </row>
    <row r="33" spans="2:16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2:16" s="3" customFormat="1" x14ac:dyDescent="0.25">
      <c r="B34" s="4" t="s">
        <v>25</v>
      </c>
      <c r="N34" s="4"/>
    </row>
    <row r="35" spans="2:16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</row>
    <row r="36" spans="2:16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</row>
    <row r="37" spans="2:16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2:16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2:16" x14ac:dyDescent="0.25">
      <c r="B39" s="8" t="s">
        <v>21</v>
      </c>
      <c r="C39" s="9" t="s">
        <v>26</v>
      </c>
      <c r="D39" s="9" t="s">
        <v>27</v>
      </c>
      <c r="E39" s="45" t="s">
        <v>28</v>
      </c>
      <c r="F39" s="45" t="s">
        <v>29</v>
      </c>
      <c r="G39" s="9" t="s">
        <v>30</v>
      </c>
      <c r="H39" s="9" t="s">
        <v>31</v>
      </c>
      <c r="I39" s="26"/>
      <c r="J39" s="26" t="str">
        <f>$C$3&amp;" - Exponential Fitted Upgrade"</f>
        <v>Retail - Exponential Fitted Upgrade</v>
      </c>
      <c r="K39" s="26"/>
      <c r="M39" s="26"/>
      <c r="P39" s="26" t="str">
        <f>$C$3&amp;" - Exponential Fitted Downgrade"</f>
        <v>Retail - Exponential Fitted Downgrade</v>
      </c>
    </row>
    <row r="40" spans="2:16" x14ac:dyDescent="0.25">
      <c r="B40" s="36">
        <v>1</v>
      </c>
      <c r="C40" s="23">
        <f ca="1">HLOOKUP($B40,$B$22:$K$32,11,FALSE)</f>
        <v>0.12541262407502526</v>
      </c>
      <c r="D40" s="23">
        <f ca="1">HLOOKUP(-$B40,$B$22:$K$32,11,FALSE)</f>
        <v>0.20663494568626306</v>
      </c>
      <c r="E40" s="23">
        <f t="shared" ref="E40:F43" si="6">C$45*EXP(C$46*$B40)</f>
        <v>0.12541331066405673</v>
      </c>
      <c r="F40" s="23">
        <f t="shared" si="6"/>
        <v>0.20663452880566749</v>
      </c>
      <c r="G40" s="26">
        <f ca="1">ABS(C40-E40)</f>
        <v>6.8658903146223693E-7</v>
      </c>
      <c r="H40" s="26">
        <f ca="1">ABS(D40-F40)</f>
        <v>4.1688059557176693E-7</v>
      </c>
      <c r="I40" s="26"/>
      <c r="J40" s="26"/>
      <c r="K40" s="26"/>
      <c r="L40" s="26"/>
      <c r="M40" s="26"/>
    </row>
    <row r="41" spans="2:16" x14ac:dyDescent="0.25">
      <c r="B41" s="36">
        <v>2</v>
      </c>
      <c r="C41" s="23">
        <f ca="1">HLOOKUP($B41,$B$22:$K$32,11,FALSE)</f>
        <v>7.2044450091824322E-2</v>
      </c>
      <c r="D41" s="23">
        <f ca="1">HLOOKUP(-$B41,$B$22:$K$32,11,FALSE)</f>
        <v>0.11593630055588959</v>
      </c>
      <c r="E41" s="23">
        <f t="shared" si="6"/>
        <v>7.204378216168153E-2</v>
      </c>
      <c r="F41" s="23">
        <f t="shared" si="6"/>
        <v>0.11776416735620035</v>
      </c>
      <c r="G41" s="26">
        <f t="shared" ref="G41:H43" ca="1" si="7">ABS(C41-E41)</f>
        <v>6.6793014279198371E-7</v>
      </c>
      <c r="H41" s="26">
        <f t="shared" ca="1" si="7"/>
        <v>1.8278668003107595E-3</v>
      </c>
      <c r="I41" s="26"/>
      <c r="J41" s="26"/>
      <c r="K41" s="26"/>
      <c r="L41" s="26"/>
      <c r="M41" s="26"/>
    </row>
    <row r="42" spans="2:16" x14ac:dyDescent="0.25">
      <c r="B42" s="36">
        <v>3</v>
      </c>
      <c r="C42" s="23">
        <f ca="1">HLOOKUP($B42,$B$22:$K$32,11,FALSE)</f>
        <v>7.8902344866909113E-2</v>
      </c>
      <c r="D42" s="23">
        <f ca="1">HLOOKUP(-$B42,$B$22:$K$32,11,FALSE)</f>
        <v>7.1174664322846387E-2</v>
      </c>
      <c r="E42" s="23">
        <f t="shared" si="6"/>
        <v>4.1385611468810049E-2</v>
      </c>
      <c r="F42" s="23">
        <f t="shared" si="6"/>
        <v>6.7115593861575312E-2</v>
      </c>
      <c r="G42" s="26">
        <f t="shared" ca="1" si="7"/>
        <v>3.7516733398099064E-2</v>
      </c>
      <c r="H42" s="26">
        <f t="shared" ca="1" si="7"/>
        <v>4.0590704612710748E-3</v>
      </c>
      <c r="I42" s="26"/>
      <c r="J42" s="26"/>
      <c r="K42" s="26"/>
      <c r="L42" s="26"/>
      <c r="M42" s="26"/>
    </row>
    <row r="43" spans="2:16" x14ac:dyDescent="0.25">
      <c r="B43" s="36">
        <v>4</v>
      </c>
      <c r="C43" s="23">
        <f ca="1">HLOOKUP($B43,$B$22:$K$32,11,FALSE)</f>
        <v>1.1699936456237989E-2</v>
      </c>
      <c r="D43" s="23">
        <f ca="1">HLOOKUP(-$B43,$B$22:$K$32,11,FALSE)</f>
        <v>3.825036676727709E-2</v>
      </c>
      <c r="E43" s="23">
        <f t="shared" si="6"/>
        <v>2.3773999438334383E-2</v>
      </c>
      <c r="F43" s="23">
        <f t="shared" si="6"/>
        <v>3.8250199874187464E-2</v>
      </c>
      <c r="G43" s="26">
        <f t="shared" ca="1" si="7"/>
        <v>1.2074062982096394E-2</v>
      </c>
      <c r="H43" s="26">
        <f t="shared" ca="1" si="7"/>
        <v>1.6689308962591909E-7</v>
      </c>
      <c r="I43" s="26"/>
      <c r="J43" s="26"/>
      <c r="K43" s="26"/>
      <c r="L43" s="26"/>
      <c r="M43" s="26"/>
    </row>
    <row r="44" spans="2:16" x14ac:dyDescent="0.25">
      <c r="C44" s="23"/>
      <c r="D44" s="23"/>
      <c r="E44" s="23"/>
      <c r="F44" s="23"/>
      <c r="G44" s="26"/>
      <c r="H44" s="26"/>
      <c r="I44" s="26"/>
      <c r="J44" s="26"/>
      <c r="K44" s="26"/>
      <c r="L44" s="26"/>
      <c r="M44" s="26"/>
    </row>
    <row r="45" spans="2:16" x14ac:dyDescent="0.25">
      <c r="B45" s="34" t="s">
        <v>32</v>
      </c>
      <c r="C45" s="35">
        <v>0.21831861154125856</v>
      </c>
      <c r="D45" s="35">
        <v>0.36257063123108102</v>
      </c>
      <c r="G45" s="37">
        <f ca="1">SUM(G40:G43)</f>
        <v>4.9592150899369712E-2</v>
      </c>
      <c r="H45" s="37">
        <f ca="1">SUM(H40:H43)</f>
        <v>5.8875210352670321E-3</v>
      </c>
      <c r="I45" s="26"/>
      <c r="J45" s="26"/>
      <c r="K45" s="26"/>
      <c r="L45" s="26"/>
      <c r="M45" s="26"/>
    </row>
    <row r="46" spans="2:16" x14ac:dyDescent="0.25">
      <c r="B46" s="34" t="s">
        <v>33</v>
      </c>
      <c r="C46" s="35">
        <v>-0.5543407484263092</v>
      </c>
      <c r="D46" s="35">
        <v>-0.56226762859062551</v>
      </c>
      <c r="I46" s="26"/>
      <c r="J46" s="26"/>
      <c r="K46" s="26"/>
      <c r="L46" s="26"/>
      <c r="M46" s="26"/>
    </row>
    <row r="47" spans="2:16" x14ac:dyDescent="0.25">
      <c r="I47" s="26"/>
      <c r="J47" s="26"/>
      <c r="K47" s="26"/>
      <c r="L47" s="26"/>
      <c r="M47" s="26"/>
    </row>
    <row r="48" spans="2:16" x14ac:dyDescent="0.25">
      <c r="G48" s="26"/>
      <c r="H48" s="26"/>
      <c r="I48" s="26"/>
      <c r="J48" s="26"/>
      <c r="K48" s="26"/>
      <c r="L48" s="26"/>
      <c r="M48" s="26"/>
    </row>
    <row r="49" spans="1:16" x14ac:dyDescent="0.25">
      <c r="I49" s="26"/>
      <c r="J49" s="26"/>
      <c r="K49" s="26"/>
      <c r="L49" s="26"/>
      <c r="M49" s="26"/>
    </row>
    <row r="50" spans="1:16" x14ac:dyDescent="0.25">
      <c r="G50" s="26"/>
      <c r="H50" s="26"/>
      <c r="I50" s="26"/>
      <c r="J50" s="26"/>
      <c r="K50" s="26"/>
      <c r="L50" s="26"/>
      <c r="M50" s="26"/>
    </row>
    <row r="51" spans="1:16" x14ac:dyDescent="0.25">
      <c r="G51" s="26"/>
      <c r="H51" s="26"/>
      <c r="I51" s="26"/>
      <c r="J51" s="26"/>
      <c r="K51" s="26"/>
      <c r="L51" s="26"/>
      <c r="M51" s="26"/>
    </row>
    <row r="52" spans="1:16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</row>
    <row r="53" spans="1:16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</row>
    <row r="54" spans="1:16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</row>
    <row r="55" spans="1:16" s="3" customFormat="1" x14ac:dyDescent="0.25">
      <c r="B55" s="4" t="s">
        <v>34</v>
      </c>
      <c r="N55" s="4"/>
    </row>
    <row r="56" spans="1:16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</row>
    <row r="57" spans="1:16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6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</row>
    <row r="59" spans="1:16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</row>
    <row r="60" spans="1:16" x14ac:dyDescent="0.25">
      <c r="C60" s="21">
        <v>1</v>
      </c>
      <c r="D60" s="21">
        <v>-1</v>
      </c>
      <c r="J60" s="26" t="str">
        <f>$C$3&amp;" - Quadratic Fitted Upgrade"</f>
        <v>Retail - Quadratic Fitted Upgrade</v>
      </c>
      <c r="P60" s="26" t="str">
        <f>$C$3&amp;" - Quadratic Fitted Downgrade"</f>
        <v>Retail - Quadratic Fitted Downgrade</v>
      </c>
    </row>
    <row r="61" spans="1:16" x14ac:dyDescent="0.25">
      <c r="A61"/>
      <c r="B61" s="8" t="s">
        <v>12</v>
      </c>
      <c r="C61" s="9" t="s">
        <v>26</v>
      </c>
      <c r="D61" s="9" t="s">
        <v>27</v>
      </c>
      <c r="E61" s="45" t="s">
        <v>28</v>
      </c>
      <c r="F61" s="45" t="s">
        <v>29</v>
      </c>
      <c r="G61" s="9" t="s">
        <v>30</v>
      </c>
      <c r="H61" s="9" t="s">
        <v>31</v>
      </c>
    </row>
    <row r="62" spans="1:16" x14ac:dyDescent="0.25">
      <c r="A62" s="10">
        <v>1</v>
      </c>
      <c r="B62" s="7" t="s">
        <v>3</v>
      </c>
      <c r="C62" s="23" t="str">
        <f>IF($A62=MIN($A$23:$A$30),"",SUMIFS($C23:$K23,$C$22:$K$22,"&gt;="&amp;C$60))</f>
        <v/>
      </c>
      <c r="D62" s="23">
        <f t="shared" ref="D62:D69" ca="1" si="8">IF($A62=MAX($A$23:$A$30),"",SUMIFS($C23:$K23,$C$22:$K$22,"&lt;="&amp;D$60))</f>
        <v>0.4</v>
      </c>
      <c r="E62" s="23" t="str">
        <f t="shared" ref="E62:F69" si="9">IF(C62="","",C$71*$A62^2+C$72*$A62+C$73)</f>
        <v/>
      </c>
      <c r="F62" s="23">
        <f t="shared" ca="1" si="9"/>
        <v>0.39995343189842231</v>
      </c>
      <c r="G62" s="26" t="str">
        <f>IF(C62="","",ABS(C62-E62))</f>
        <v/>
      </c>
      <c r="H62" s="26">
        <f ca="1">IF(D62="","",ABS(D62-F62))</f>
        <v>4.6568101577715293E-5</v>
      </c>
    </row>
    <row r="63" spans="1:16" x14ac:dyDescent="0.25">
      <c r="A63" s="10">
        <v>2</v>
      </c>
      <c r="B63" s="7" t="s">
        <v>5</v>
      </c>
      <c r="C63" s="23">
        <f t="shared" ref="C63:C69" ca="1" si="10">IF(A63=MIN($A$23:$A$30),"",SUMIFS($C24:$K24,$C$22:$K$22,"&gt;="&amp;C$60))</f>
        <v>0</v>
      </c>
      <c r="D63" s="23">
        <f t="shared" ca="1" si="8"/>
        <v>0.25054255124332203</v>
      </c>
      <c r="E63" s="23">
        <f t="shared" ca="1" si="9"/>
        <v>1.6437911006805805E-6</v>
      </c>
      <c r="F63" s="23">
        <f t="shared" ca="1" si="9"/>
        <v>0.41421466616012764</v>
      </c>
      <c r="G63" s="26">
        <f t="shared" ref="G63:H69" ca="1" si="11">IF(C63="","",ABS(C63-E63))</f>
        <v>1.6437911006805805E-6</v>
      </c>
      <c r="H63" s="26">
        <f t="shared" ca="1" si="11"/>
        <v>0.16367211491680561</v>
      </c>
    </row>
    <row r="64" spans="1:16" x14ac:dyDescent="0.25">
      <c r="A64" s="10">
        <v>3</v>
      </c>
      <c r="B64" s="7" t="s">
        <v>6</v>
      </c>
      <c r="C64" s="23">
        <f t="shared" ca="1" si="10"/>
        <v>5.8290631157440223E-2</v>
      </c>
      <c r="D64" s="23">
        <f t="shared" ca="1" si="8"/>
        <v>0.45307698584791084</v>
      </c>
      <c r="E64" s="23">
        <f t="shared" ca="1" si="9"/>
        <v>4.0693394015798218E-2</v>
      </c>
      <c r="F64" s="23">
        <f t="shared" ca="1" si="9"/>
        <v>0.40850826619523534</v>
      </c>
      <c r="G64" s="26">
        <f t="shared" ca="1" si="11"/>
        <v>1.7597237141642005E-2</v>
      </c>
      <c r="H64" s="26">
        <f t="shared" ca="1" si="11"/>
        <v>4.4568719652675504E-2</v>
      </c>
    </row>
    <row r="65" spans="1:14" x14ac:dyDescent="0.25">
      <c r="A65" s="10">
        <v>4</v>
      </c>
      <c r="B65" s="7" t="s">
        <v>7</v>
      </c>
      <c r="C65" s="23">
        <f t="shared" ca="1" si="10"/>
        <v>8.8317322890342401E-2</v>
      </c>
      <c r="D65" s="23">
        <f t="shared" ca="1" si="8"/>
        <v>0.70796887271106279</v>
      </c>
      <c r="E65" s="23">
        <f t="shared" ca="1" si="9"/>
        <v>8.7061609612551383E-2</v>
      </c>
      <c r="F65" s="23">
        <f t="shared" ca="1" si="9"/>
        <v>0.38283423200374539</v>
      </c>
      <c r="G65" s="26">
        <f t="shared" ca="1" si="11"/>
        <v>1.2557132777910179E-3</v>
      </c>
      <c r="H65" s="26">
        <f t="shared" ca="1" si="11"/>
        <v>0.3251346407073174</v>
      </c>
    </row>
    <row r="66" spans="1:14" x14ac:dyDescent="0.25">
      <c r="A66" s="10">
        <v>5</v>
      </c>
      <c r="B66" s="7" t="s">
        <v>8</v>
      </c>
      <c r="C66" s="23">
        <f t="shared" ca="1" si="10"/>
        <v>0.12540420723001353</v>
      </c>
      <c r="D66" s="23">
        <f t="shared" ca="1" si="8"/>
        <v>0.33719071105833254</v>
      </c>
      <c r="E66" s="23">
        <f t="shared" ca="1" si="9"/>
        <v>0.1391062905813602</v>
      </c>
      <c r="F66" s="23">
        <f t="shared" ca="1" si="9"/>
        <v>0.33719256358565786</v>
      </c>
      <c r="G66" s="26">
        <f t="shared" ca="1" si="11"/>
        <v>1.3702083351346678E-2</v>
      </c>
      <c r="H66" s="26">
        <f t="shared" ca="1" si="11"/>
        <v>1.8525273253189312E-6</v>
      </c>
    </row>
    <row r="67" spans="1:14" x14ac:dyDescent="0.25">
      <c r="A67" s="10">
        <v>6</v>
      </c>
      <c r="B67" s="7" t="s">
        <v>9</v>
      </c>
      <c r="C67" s="23">
        <f t="shared" ca="1" si="10"/>
        <v>0.18277770603891594</v>
      </c>
      <c r="D67" s="23">
        <f t="shared" ca="1" si="8"/>
        <v>0.25870374936187279</v>
      </c>
      <c r="E67" s="23">
        <f t="shared" ca="1" si="9"/>
        <v>0.1968274369222246</v>
      </c>
      <c r="F67" s="23">
        <f t="shared" ca="1" si="9"/>
        <v>0.27158326094097257</v>
      </c>
      <c r="G67" s="26">
        <f t="shared" ca="1" si="11"/>
        <v>1.4049730883308659E-2</v>
      </c>
      <c r="H67" s="26">
        <f t="shared" ca="1" si="11"/>
        <v>1.2879511579099778E-2</v>
      </c>
    </row>
    <row r="68" spans="1:14" x14ac:dyDescent="0.25">
      <c r="A68" s="10">
        <v>7</v>
      </c>
      <c r="B68" s="7" t="s">
        <v>10</v>
      </c>
      <c r="C68" s="23">
        <f t="shared" ca="1" si="10"/>
        <v>0.40714311903588774</v>
      </c>
      <c r="D68" s="23">
        <f t="shared" ca="1" si="8"/>
        <v>0.18699868629533917</v>
      </c>
      <c r="E68" s="23">
        <f t="shared" ca="1" si="9"/>
        <v>0.26022504863514473</v>
      </c>
      <c r="F68" s="23">
        <f t="shared" ca="1" si="9"/>
        <v>0.18600632406968975</v>
      </c>
      <c r="G68" s="26">
        <f t="shared" ca="1" si="11"/>
        <v>0.14691807040074301</v>
      </c>
      <c r="H68" s="26">
        <f t="shared" ca="1" si="11"/>
        <v>9.9236222564941245E-4</v>
      </c>
    </row>
    <row r="69" spans="1:14" x14ac:dyDescent="0.25">
      <c r="A69" s="10">
        <v>8</v>
      </c>
      <c r="B69" s="7" t="s">
        <v>11</v>
      </c>
      <c r="C69" s="23">
        <f t="shared" ca="1" si="10"/>
        <v>0.32889938300791965</v>
      </c>
      <c r="D69" s="23" t="str">
        <f t="shared" si="8"/>
        <v/>
      </c>
      <c r="E69" s="23">
        <f t="shared" ca="1" si="9"/>
        <v>0.32929912572012038</v>
      </c>
      <c r="F69" s="23" t="str">
        <f t="shared" si="9"/>
        <v/>
      </c>
      <c r="G69" s="26">
        <f t="shared" ca="1" si="11"/>
        <v>3.9974271220072355E-4</v>
      </c>
      <c r="H69" s="26" t="str">
        <f t="shared" si="11"/>
        <v/>
      </c>
    </row>
    <row r="71" spans="1:14" x14ac:dyDescent="0.25">
      <c r="B71" s="34" t="s">
        <v>35</v>
      </c>
      <c r="C71" s="27">
        <v>2.8382326860278148E-3</v>
      </c>
      <c r="D71" s="27">
        <v>-9.983817113298819E-3</v>
      </c>
      <c r="G71" s="37">
        <f ca="1">SUMIF(G62:G69,"&lt;&gt;")</f>
        <v>0.19392422155813277</v>
      </c>
      <c r="H71" s="37">
        <f ca="1">SUMIF(H62:H69,"&lt;&gt;")</f>
        <v>0.5472957697104508</v>
      </c>
    </row>
    <row r="72" spans="1:14" x14ac:dyDescent="0.25">
      <c r="B72" s="34" t="s">
        <v>36</v>
      </c>
      <c r="C72" s="27">
        <v>2.6500586794558467E-2</v>
      </c>
      <c r="D72" s="27">
        <v>4.4212685601601791E-2</v>
      </c>
    </row>
    <row r="73" spans="1:14" x14ac:dyDescent="0.25">
      <c r="B73" s="34" t="s">
        <v>37</v>
      </c>
      <c r="C73" s="27">
        <v>-6.435246054212751E-2</v>
      </c>
      <c r="D73" s="27">
        <v>0.36572456341011933</v>
      </c>
    </row>
    <row r="77" spans="1:14" s="3" customFormat="1" x14ac:dyDescent="0.25">
      <c r="B77" s="4" t="s">
        <v>54</v>
      </c>
      <c r="N77" s="4"/>
    </row>
    <row r="82" spans="2:12" x14ac:dyDescent="0.25">
      <c r="B82" s="8" t="s">
        <v>38</v>
      </c>
      <c r="C82" s="9" t="s">
        <v>39</v>
      </c>
      <c r="D82" s="9" t="s">
        <v>40</v>
      </c>
      <c r="E82" s="44" t="s">
        <v>41</v>
      </c>
      <c r="F82" s="44" t="s">
        <v>42</v>
      </c>
      <c r="G82" s="9" t="s">
        <v>30</v>
      </c>
      <c r="H82" s="9" t="s">
        <v>31</v>
      </c>
    </row>
    <row r="83" spans="2:12" x14ac:dyDescent="0.25">
      <c r="B83" s="7" t="s">
        <v>32</v>
      </c>
      <c r="C83" s="28">
        <f>C45</f>
        <v>0.21831861154125856</v>
      </c>
      <c r="D83" s="28">
        <f>D45</f>
        <v>0.36257063123108102</v>
      </c>
      <c r="E83" s="38">
        <v>0.12837118402794678</v>
      </c>
      <c r="F83" s="38">
        <v>0.16813460156832344</v>
      </c>
      <c r="G83" s="28">
        <f t="shared" ref="G83:H87" si="12">IF(C83="","",ABS(C83-E83))</f>
        <v>8.9947427513311778E-2</v>
      </c>
      <c r="H83" s="28">
        <f t="shared" si="12"/>
        <v>0.19443602966275758</v>
      </c>
    </row>
    <row r="84" spans="2:12" x14ac:dyDescent="0.25">
      <c r="B84" s="7" t="s">
        <v>33</v>
      </c>
      <c r="C84" s="28">
        <f>C46</f>
        <v>-0.5543407484263092</v>
      </c>
      <c r="D84" s="28">
        <f>D46</f>
        <v>-0.56226762859062551</v>
      </c>
      <c r="E84" s="38">
        <v>-0.22025930312572106</v>
      </c>
      <c r="F84" s="38">
        <v>-0.20274679975790774</v>
      </c>
      <c r="G84" s="28">
        <f t="shared" si="12"/>
        <v>0.33408144530058814</v>
      </c>
      <c r="H84" s="28">
        <f t="shared" si="12"/>
        <v>0.35952082883271774</v>
      </c>
    </row>
    <row r="85" spans="2:12" x14ac:dyDescent="0.25">
      <c r="B85" s="7" t="s">
        <v>35</v>
      </c>
      <c r="C85" s="28">
        <f t="shared" ref="C85:D87" si="13">C71</f>
        <v>2.8382326860278148E-3</v>
      </c>
      <c r="D85" s="28">
        <f t="shared" si="13"/>
        <v>-9.983817113298819E-3</v>
      </c>
      <c r="E85" s="38">
        <v>-1.0528982188451266E-2</v>
      </c>
      <c r="F85" s="38">
        <v>6.8738826315074548E-4</v>
      </c>
      <c r="G85" s="28">
        <f t="shared" si="12"/>
        <v>1.3367214874479082E-2</v>
      </c>
      <c r="H85" s="28">
        <f t="shared" si="12"/>
        <v>1.0671205376449564E-2</v>
      </c>
    </row>
    <row r="86" spans="2:12" x14ac:dyDescent="0.25">
      <c r="B86" s="7" t="s">
        <v>36</v>
      </c>
      <c r="C86" s="28">
        <f t="shared" si="13"/>
        <v>2.6500586794558467E-2</v>
      </c>
      <c r="D86" s="28">
        <f t="shared" si="13"/>
        <v>4.4212685601601791E-2</v>
      </c>
      <c r="E86" s="38">
        <v>0.18556571903857824</v>
      </c>
      <c r="F86" s="38">
        <v>-9.4341767695013012E-2</v>
      </c>
      <c r="G86" s="28">
        <f t="shared" si="12"/>
        <v>0.15906513224401977</v>
      </c>
      <c r="H86" s="28">
        <f t="shared" si="12"/>
        <v>0.13855445329661481</v>
      </c>
    </row>
    <row r="87" spans="2:12" x14ac:dyDescent="0.25">
      <c r="B87" s="7" t="s">
        <v>37</v>
      </c>
      <c r="C87" s="28">
        <f t="shared" si="13"/>
        <v>-6.435246054212751E-2</v>
      </c>
      <c r="D87" s="28">
        <f t="shared" si="13"/>
        <v>0.36572456341011933</v>
      </c>
      <c r="E87" s="38">
        <v>-0.28906850824918284</v>
      </c>
      <c r="F87" s="38">
        <v>0.85848154070277771</v>
      </c>
      <c r="G87" s="28">
        <f t="shared" si="12"/>
        <v>0.22471604770705533</v>
      </c>
      <c r="H87" s="28">
        <f t="shared" si="12"/>
        <v>0.49275697729265838</v>
      </c>
    </row>
    <row r="88" spans="2:12" x14ac:dyDescent="0.25">
      <c r="B88" s="24"/>
      <c r="C88" s="28"/>
      <c r="D88" s="28"/>
      <c r="G88" s="26"/>
      <c r="H88" s="26"/>
    </row>
    <row r="89" spans="2:12" x14ac:dyDescent="0.25">
      <c r="B89" s="24"/>
      <c r="C89" s="28"/>
      <c r="D89" s="28"/>
      <c r="G89" s="37">
        <f>SUM(G83:G87)</f>
        <v>0.82117726763945409</v>
      </c>
      <c r="H89" s="37">
        <f>SUM(H83:H87)</f>
        <v>1.1959394944611981</v>
      </c>
    </row>
    <row r="91" spans="2:12" x14ac:dyDescent="0.25">
      <c r="B91" s="25" t="s">
        <v>26</v>
      </c>
      <c r="H91" s="25" t="s">
        <v>27</v>
      </c>
    </row>
    <row r="92" spans="2:12" x14ac:dyDescent="0.25">
      <c r="B92" s="8" t="s">
        <v>56</v>
      </c>
      <c r="C92" s="9" t="s">
        <v>21</v>
      </c>
      <c r="D92" s="9" t="s">
        <v>43</v>
      </c>
      <c r="E92" s="8" t="s">
        <v>44</v>
      </c>
      <c r="F92" s="9" t="s">
        <v>45</v>
      </c>
      <c r="H92" s="8" t="s">
        <v>56</v>
      </c>
      <c r="I92" s="9" t="s">
        <v>21</v>
      </c>
      <c r="J92" s="9" t="s">
        <v>43</v>
      </c>
      <c r="K92" s="8" t="s">
        <v>44</v>
      </c>
      <c r="L92" s="9" t="s">
        <v>45</v>
      </c>
    </row>
    <row r="93" spans="2:12" x14ac:dyDescent="0.25">
      <c r="B93" s="7">
        <v>1</v>
      </c>
      <c r="C93" s="20">
        <v>1</v>
      </c>
      <c r="D93" s="29" t="str">
        <f t="shared" ref="D93:D124" ca="1" si="14">IF(VLOOKUP($B93,$A$22:$K$30,MATCH(C93,$A$22:$K$22,0),FALSE)="","",VLOOKUP($B93,$A$22:$K$30,MATCH(C93,$A$22:$K$22,0),FALSE))</f>
        <v/>
      </c>
      <c r="E93" s="29" t="str">
        <f ca="1">IF(D93="","",MAX(($E$85*$B93^2+$E$86*$B93+$E$87)*($E$83*EXP($E$84*$C93)),0))</f>
        <v/>
      </c>
      <c r="F93" s="30" t="str">
        <f ca="1">IFERROR(SUMSQ(D93-E93)*VLOOKUP(B93,$M$9:$P$16,4,FALSE),"")</f>
        <v/>
      </c>
      <c r="H93" s="7">
        <v>1</v>
      </c>
      <c r="I93" s="20">
        <v>1</v>
      </c>
      <c r="J93" s="29">
        <f t="shared" ref="J93:J124" ca="1" si="15">IF(VLOOKUP($H93,$A$22:$K$30,MATCH(-I93,$A$22:$K$22,0),FALSE)="","",VLOOKUP($H93,$A$22:$K$30,MATCH(-I93,$A$22:$K$22,0),FALSE))</f>
        <v>0.2</v>
      </c>
      <c r="K93" s="29">
        <f ca="1">IF(J93="","",MAX(($F$85*$B93^2+$F$86*$B93+$F$87)*($F$83*EXP($F$84*$C93)),0))</f>
        <v>0.1049949921285236</v>
      </c>
      <c r="L93" s="30">
        <f ca="1">IFERROR(SUMSQ(J93-K93)*VLOOKUP(H93,$M$9:$P$16,4,FALSE),"")</f>
        <v>8.2054104733266314E-5</v>
      </c>
    </row>
    <row r="94" spans="2:12" x14ac:dyDescent="0.25">
      <c r="B94" s="7">
        <v>1</v>
      </c>
      <c r="C94" s="20">
        <v>2</v>
      </c>
      <c r="D94" s="29" t="str">
        <f t="shared" ca="1" si="14"/>
        <v/>
      </c>
      <c r="E94" s="29" t="str">
        <f t="shared" ref="E94:E124" ca="1" si="16">IF(D94="","",MAX(($E$85*$B94^2+$E$86*$B94+$E$87)*($E$83*EXP($E$84*$C94)),0))</f>
        <v/>
      </c>
      <c r="F94" s="30" t="str">
        <f t="shared" ref="F94:F124" ca="1" si="17">IFERROR(SUMSQ(D94-E94)*VLOOKUP(B94,$M$9:$P$16,4,FALSE),"")</f>
        <v/>
      </c>
      <c r="H94" s="7">
        <v>1</v>
      </c>
      <c r="I94" s="20">
        <v>2</v>
      </c>
      <c r="J94" s="29" t="str">
        <f t="shared" ca="1" si="15"/>
        <v/>
      </c>
      <c r="K94" s="29" t="str">
        <f t="shared" ref="K94:K124" ca="1" si="18">IF(J94="","",MAX(($F$85*$B94^2+$F$86*$B94+$F$87)*($F$83*EXP($F$84*$C94)),0))</f>
        <v/>
      </c>
      <c r="L94" s="30" t="str">
        <f t="shared" ref="L94:L124" ca="1" si="19">IFERROR(SUMSQ(J94-K94)*VLOOKUP(H94,$M$9:$P$16,4,FALSE),"")</f>
        <v/>
      </c>
    </row>
    <row r="95" spans="2:12" x14ac:dyDescent="0.25">
      <c r="B95" s="7">
        <v>1</v>
      </c>
      <c r="C95" s="20">
        <v>3</v>
      </c>
      <c r="D95" s="29" t="str">
        <f t="shared" ca="1" si="14"/>
        <v/>
      </c>
      <c r="E95" s="29" t="str">
        <f t="shared" ca="1" si="16"/>
        <v/>
      </c>
      <c r="F95" s="30" t="str">
        <f t="shared" ca="1" si="17"/>
        <v/>
      </c>
      <c r="H95" s="7">
        <v>1</v>
      </c>
      <c r="I95" s="20">
        <v>3</v>
      </c>
      <c r="J95" s="29" t="str">
        <f t="shared" ca="1" si="15"/>
        <v/>
      </c>
      <c r="K95" s="29" t="str">
        <f t="shared" ca="1" si="18"/>
        <v/>
      </c>
      <c r="L95" s="30" t="str">
        <f t="shared" ca="1" si="19"/>
        <v/>
      </c>
    </row>
    <row r="96" spans="2:12" x14ac:dyDescent="0.25">
      <c r="B96" s="7">
        <v>1</v>
      </c>
      <c r="C96" s="20">
        <v>4</v>
      </c>
      <c r="D96" s="29" t="str">
        <f t="shared" ca="1" si="14"/>
        <v/>
      </c>
      <c r="E96" s="29" t="str">
        <f t="shared" ca="1" si="16"/>
        <v/>
      </c>
      <c r="F96" s="30" t="str">
        <f t="shared" ca="1" si="17"/>
        <v/>
      </c>
      <c r="H96" s="7">
        <v>1</v>
      </c>
      <c r="I96" s="20">
        <v>4</v>
      </c>
      <c r="J96" s="29">
        <f t="shared" ca="1" si="15"/>
        <v>0.2</v>
      </c>
      <c r="K96" s="29">
        <f t="shared" ca="1" si="18"/>
        <v>5.7149592264295099E-2</v>
      </c>
      <c r="L96" s="30">
        <f t="shared" ca="1" si="19"/>
        <v>1.8551126354779214E-4</v>
      </c>
    </row>
    <row r="97" spans="2:12" x14ac:dyDescent="0.25">
      <c r="B97" s="7">
        <f t="shared" ref="B97:B124" si="20">B93+1</f>
        <v>2</v>
      </c>
      <c r="C97" s="20">
        <f t="shared" ref="C97:C124" si="21">C93</f>
        <v>1</v>
      </c>
      <c r="D97" s="29" t="str">
        <f t="shared" ca="1" si="14"/>
        <v/>
      </c>
      <c r="E97" s="29" t="str">
        <f t="shared" ca="1" si="16"/>
        <v/>
      </c>
      <c r="F97" s="30" t="str">
        <f t="shared" ca="1" si="17"/>
        <v/>
      </c>
      <c r="H97" s="7">
        <f t="shared" ref="H97:H124" si="22">H93+1</f>
        <v>2</v>
      </c>
      <c r="I97" s="20">
        <f t="shared" ref="I97:I124" si="23">I93</f>
        <v>1</v>
      </c>
      <c r="J97" s="29" t="str">
        <f t="shared" ca="1" si="15"/>
        <v/>
      </c>
      <c r="K97" s="29" t="str">
        <f t="shared" ca="1" si="18"/>
        <v/>
      </c>
      <c r="L97" s="30" t="str">
        <f t="shared" ca="1" si="19"/>
        <v/>
      </c>
    </row>
    <row r="98" spans="2:12" x14ac:dyDescent="0.25">
      <c r="B98" s="7">
        <f t="shared" si="20"/>
        <v>2</v>
      </c>
      <c r="C98" s="20">
        <f t="shared" si="21"/>
        <v>2</v>
      </c>
      <c r="D98" s="29" t="str">
        <f t="shared" ca="1" si="14"/>
        <v/>
      </c>
      <c r="E98" s="29" t="str">
        <f t="shared" ca="1" si="16"/>
        <v/>
      </c>
      <c r="F98" s="30" t="str">
        <f t="shared" ca="1" si="17"/>
        <v/>
      </c>
      <c r="H98" s="7">
        <f t="shared" si="22"/>
        <v>2</v>
      </c>
      <c r="I98" s="20">
        <f t="shared" si="23"/>
        <v>2</v>
      </c>
      <c r="J98" s="29">
        <f t="shared" ca="1" si="15"/>
        <v>0.17507564822261332</v>
      </c>
      <c r="K98" s="29">
        <f t="shared" ca="1" si="18"/>
        <v>7.5383529360876264E-2</v>
      </c>
      <c r="L98" s="30">
        <f t="shared" ca="1" si="19"/>
        <v>2.7105050626752839E-4</v>
      </c>
    </row>
    <row r="99" spans="2:12" x14ac:dyDescent="0.25">
      <c r="B99" s="7">
        <f t="shared" si="20"/>
        <v>2</v>
      </c>
      <c r="C99" s="20">
        <f t="shared" si="21"/>
        <v>3</v>
      </c>
      <c r="D99" s="29" t="str">
        <f t="shared" ca="1" si="14"/>
        <v/>
      </c>
      <c r="E99" s="29" t="str">
        <f t="shared" ca="1" si="16"/>
        <v/>
      </c>
      <c r="F99" s="30" t="str">
        <f t="shared" ca="1" si="17"/>
        <v/>
      </c>
      <c r="H99" s="7">
        <f t="shared" si="22"/>
        <v>2</v>
      </c>
      <c r="I99" s="20">
        <f t="shared" si="23"/>
        <v>3</v>
      </c>
      <c r="J99" s="29">
        <f t="shared" ca="1" si="15"/>
        <v>7.5466903020708742E-2</v>
      </c>
      <c r="K99" s="29">
        <f t="shared" ca="1" si="18"/>
        <v>6.1549517158982804E-2</v>
      </c>
      <c r="L99" s="30">
        <f t="shared" ca="1" si="19"/>
        <v>5.2825535242955192E-6</v>
      </c>
    </row>
    <row r="100" spans="2:12" x14ac:dyDescent="0.25">
      <c r="B100" s="7">
        <f t="shared" si="20"/>
        <v>2</v>
      </c>
      <c r="C100" s="20">
        <f t="shared" si="21"/>
        <v>4</v>
      </c>
      <c r="D100" s="29" t="str">
        <f t="shared" ca="1" si="14"/>
        <v/>
      </c>
      <c r="E100" s="29" t="str">
        <f t="shared" ca="1" si="16"/>
        <v/>
      </c>
      <c r="F100" s="30" t="str">
        <f t="shared" ca="1" si="17"/>
        <v/>
      </c>
      <c r="H100" s="7">
        <f t="shared" si="22"/>
        <v>2</v>
      </c>
      <c r="I100" s="20">
        <f t="shared" si="23"/>
        <v>4</v>
      </c>
      <c r="J100" s="29" t="str">
        <f t="shared" ca="1" si="15"/>
        <v/>
      </c>
      <c r="K100" s="29" t="str">
        <f t="shared" ca="1" si="18"/>
        <v/>
      </c>
      <c r="L100" s="30" t="str">
        <f t="shared" ca="1" si="19"/>
        <v/>
      </c>
    </row>
    <row r="101" spans="2:12" x14ac:dyDescent="0.25">
      <c r="B101" s="7">
        <f t="shared" si="20"/>
        <v>3</v>
      </c>
      <c r="C101" s="20">
        <f t="shared" si="21"/>
        <v>1</v>
      </c>
      <c r="D101" s="29">
        <f t="shared" ca="1" si="14"/>
        <v>5.8290631157440223E-2</v>
      </c>
      <c r="E101" s="29">
        <f t="shared" ca="1" si="16"/>
        <v>1.7804274235807407E-2</v>
      </c>
      <c r="F101" s="30">
        <f t="shared" ca="1" si="17"/>
        <v>6.705593577760276E-5</v>
      </c>
      <c r="H101" s="7">
        <f t="shared" si="22"/>
        <v>3</v>
      </c>
      <c r="I101" s="20">
        <f t="shared" si="23"/>
        <v>1</v>
      </c>
      <c r="J101" s="29">
        <f t="shared" ca="1" si="15"/>
        <v>0.36079245915890873</v>
      </c>
      <c r="K101" s="29">
        <f t="shared" ca="1" si="18"/>
        <v>7.9847548778227972E-2</v>
      </c>
      <c r="L101" s="30">
        <f t="shared" ca="1" si="19"/>
        <v>3.2289562909967209E-3</v>
      </c>
    </row>
    <row r="102" spans="2:12" x14ac:dyDescent="0.25">
      <c r="B102" s="7">
        <f t="shared" si="20"/>
        <v>3</v>
      </c>
      <c r="C102" s="20">
        <f t="shared" si="21"/>
        <v>2</v>
      </c>
      <c r="D102" s="29" t="str">
        <f t="shared" ca="1" si="14"/>
        <v/>
      </c>
      <c r="E102" s="29" t="str">
        <f t="shared" ca="1" si="16"/>
        <v/>
      </c>
      <c r="F102" s="30" t="str">
        <f t="shared" ca="1" si="17"/>
        <v/>
      </c>
      <c r="H102" s="7">
        <f t="shared" si="22"/>
        <v>3</v>
      </c>
      <c r="I102" s="20">
        <f t="shared" si="23"/>
        <v>2</v>
      </c>
      <c r="J102" s="29">
        <f t="shared" ca="1" si="15"/>
        <v>4.6526979654643683E-2</v>
      </c>
      <c r="K102" s="29">
        <f t="shared" ca="1" si="18"/>
        <v>6.5194321827267795E-2</v>
      </c>
      <c r="L102" s="30">
        <f t="shared" ca="1" si="19"/>
        <v>1.425557715503853E-5</v>
      </c>
    </row>
    <row r="103" spans="2:12" x14ac:dyDescent="0.25">
      <c r="B103" s="7">
        <f t="shared" si="20"/>
        <v>3</v>
      </c>
      <c r="C103" s="20">
        <f t="shared" si="21"/>
        <v>3</v>
      </c>
      <c r="D103" s="29" t="str">
        <f t="shared" ca="1" si="14"/>
        <v/>
      </c>
      <c r="E103" s="29" t="str">
        <f t="shared" ca="1" si="16"/>
        <v/>
      </c>
      <c r="F103" s="30" t="str">
        <f t="shared" ca="1" si="17"/>
        <v/>
      </c>
      <c r="H103" s="7">
        <f t="shared" si="22"/>
        <v>3</v>
      </c>
      <c r="I103" s="20">
        <f t="shared" si="23"/>
        <v>3</v>
      </c>
      <c r="J103" s="29">
        <f t="shared" ca="1" si="15"/>
        <v>4.5757547034358421E-2</v>
      </c>
      <c r="K103" s="29">
        <f t="shared" ca="1" si="18"/>
        <v>5.3230182561049347E-2</v>
      </c>
      <c r="L103" s="30">
        <f t="shared" ca="1" si="19"/>
        <v>2.2843751610585013E-6</v>
      </c>
    </row>
    <row r="104" spans="2:12" x14ac:dyDescent="0.25">
      <c r="B104" s="7">
        <f t="shared" si="20"/>
        <v>3</v>
      </c>
      <c r="C104" s="20">
        <f t="shared" si="21"/>
        <v>4</v>
      </c>
      <c r="D104" s="29" t="str">
        <f t="shared" ca="1" si="14"/>
        <v/>
      </c>
      <c r="E104" s="29" t="str">
        <f t="shared" ca="1" si="16"/>
        <v/>
      </c>
      <c r="F104" s="30" t="str">
        <f t="shared" ca="1" si="17"/>
        <v/>
      </c>
      <c r="H104" s="7">
        <f t="shared" si="22"/>
        <v>3</v>
      </c>
      <c r="I104" s="20">
        <f t="shared" si="23"/>
        <v>4</v>
      </c>
      <c r="J104" s="29" t="str">
        <f t="shared" ca="1" si="15"/>
        <v/>
      </c>
      <c r="K104" s="29" t="str">
        <f t="shared" ca="1" si="18"/>
        <v/>
      </c>
      <c r="L104" s="30" t="str">
        <f t="shared" ca="1" si="19"/>
        <v/>
      </c>
    </row>
    <row r="105" spans="2:12" x14ac:dyDescent="0.25">
      <c r="B105" s="7">
        <f t="shared" si="20"/>
        <v>4</v>
      </c>
      <c r="C105" s="20">
        <f t="shared" si="21"/>
        <v>1</v>
      </c>
      <c r="D105" s="29" t="str">
        <f t="shared" ca="1" si="14"/>
        <v/>
      </c>
      <c r="E105" s="29" t="str">
        <f t="shared" ca="1" si="16"/>
        <v/>
      </c>
      <c r="F105" s="30" t="str">
        <f t="shared" ca="1" si="17"/>
        <v/>
      </c>
      <c r="H105" s="7">
        <f t="shared" si="22"/>
        <v>4</v>
      </c>
      <c r="I105" s="20">
        <f t="shared" si="23"/>
        <v>1</v>
      </c>
      <c r="J105" s="29">
        <f t="shared" ca="1" si="15"/>
        <v>0.43250196969035404</v>
      </c>
      <c r="K105" s="29">
        <f t="shared" ca="1" si="18"/>
        <v>6.7556919789637557E-2</v>
      </c>
      <c r="L105" s="30">
        <f t="shared" ca="1" si="19"/>
        <v>1.2107717222457858E-2</v>
      </c>
    </row>
    <row r="106" spans="2:12" x14ac:dyDescent="0.25">
      <c r="B106" s="7">
        <f t="shared" si="20"/>
        <v>4</v>
      </c>
      <c r="C106" s="20">
        <f t="shared" si="21"/>
        <v>2</v>
      </c>
      <c r="D106" s="29">
        <f t="shared" ca="1" si="14"/>
        <v>8.8317322890342401E-2</v>
      </c>
      <c r="E106" s="29">
        <f t="shared" ca="1" si="16"/>
        <v>2.3528106157340651E-2</v>
      </c>
      <c r="F106" s="30">
        <f t="shared" ca="1" si="17"/>
        <v>3.8160387317053409E-4</v>
      </c>
      <c r="H106" s="7">
        <f t="shared" si="22"/>
        <v>4</v>
      </c>
      <c r="I106" s="20">
        <f t="shared" si="23"/>
        <v>2</v>
      </c>
      <c r="J106" s="29">
        <f t="shared" ca="1" si="15"/>
        <v>0.14233086656009811</v>
      </c>
      <c r="K106" s="29">
        <f t="shared" ca="1" si="18"/>
        <v>5.5159208238906833E-2</v>
      </c>
      <c r="L106" s="30">
        <f t="shared" ca="1" si="19"/>
        <v>6.9080891040604699E-4</v>
      </c>
    </row>
    <row r="107" spans="2:12" x14ac:dyDescent="0.25">
      <c r="B107" s="7">
        <f t="shared" si="20"/>
        <v>4</v>
      </c>
      <c r="C107" s="20">
        <f t="shared" si="21"/>
        <v>3</v>
      </c>
      <c r="D107" s="29" t="str">
        <f t="shared" ca="1" si="14"/>
        <v/>
      </c>
      <c r="E107" s="29" t="str">
        <f t="shared" ca="1" si="16"/>
        <v/>
      </c>
      <c r="F107" s="30" t="str">
        <f t="shared" ca="1" si="17"/>
        <v/>
      </c>
      <c r="H107" s="7">
        <f t="shared" si="22"/>
        <v>4</v>
      </c>
      <c r="I107" s="20">
        <f t="shared" si="23"/>
        <v>3</v>
      </c>
      <c r="J107" s="29">
        <f t="shared" ca="1" si="15"/>
        <v>0.11106063301660585</v>
      </c>
      <c r="K107" s="29">
        <f t="shared" ca="1" si="18"/>
        <v>4.5036663350210615E-2</v>
      </c>
      <c r="L107" s="30">
        <f t="shared" ca="1" si="19"/>
        <v>3.9628768822809799E-4</v>
      </c>
    </row>
    <row r="108" spans="2:12" x14ac:dyDescent="0.25">
      <c r="B108" s="7">
        <f t="shared" si="20"/>
        <v>4</v>
      </c>
      <c r="C108" s="20">
        <f t="shared" si="21"/>
        <v>4</v>
      </c>
      <c r="D108" s="29" t="str">
        <f t="shared" ca="1" si="14"/>
        <v/>
      </c>
      <c r="E108" s="29" t="str">
        <f t="shared" ca="1" si="16"/>
        <v/>
      </c>
      <c r="F108" s="30" t="str">
        <f t="shared" ca="1" si="17"/>
        <v/>
      </c>
      <c r="H108" s="7">
        <f t="shared" si="22"/>
        <v>4</v>
      </c>
      <c r="I108" s="20">
        <f t="shared" si="23"/>
        <v>4</v>
      </c>
      <c r="J108" s="29">
        <f t="shared" ca="1" si="15"/>
        <v>2.2075403444004802E-2</v>
      </c>
      <c r="K108" s="29">
        <f t="shared" ca="1" si="18"/>
        <v>3.6771757798538009E-2</v>
      </c>
      <c r="L108" s="30">
        <f t="shared" ca="1" si="19"/>
        <v>1.9634802846727923E-5</v>
      </c>
    </row>
    <row r="109" spans="2:12" x14ac:dyDescent="0.25">
      <c r="B109" s="7">
        <f t="shared" si="20"/>
        <v>5</v>
      </c>
      <c r="C109" s="20">
        <f t="shared" si="21"/>
        <v>1</v>
      </c>
      <c r="D109" s="29">
        <f t="shared" ca="1" si="14"/>
        <v>2.8624129550243339E-2</v>
      </c>
      <c r="E109" s="29">
        <f t="shared" ca="1" si="16"/>
        <v>3.8677748235715931E-2</v>
      </c>
      <c r="F109" s="30">
        <f t="shared" ca="1" si="17"/>
        <v>1.5161287300932547E-5</v>
      </c>
      <c r="H109" s="7">
        <f t="shared" si="22"/>
        <v>5</v>
      </c>
      <c r="I109" s="20">
        <f t="shared" si="23"/>
        <v>1</v>
      </c>
      <c r="J109" s="29">
        <f t="shared" ca="1" si="15"/>
        <v>0.15072998154493894</v>
      </c>
      <c r="K109" s="29">
        <f t="shared" ca="1" si="18"/>
        <v>5.5455019258752077E-2</v>
      </c>
      <c r="L109" s="30">
        <f t="shared" ca="1" si="19"/>
        <v>1.3615977657951497E-3</v>
      </c>
    </row>
    <row r="110" spans="2:12" x14ac:dyDescent="0.25">
      <c r="B110" s="7">
        <f t="shared" si="20"/>
        <v>5</v>
      </c>
      <c r="C110" s="20">
        <f t="shared" si="21"/>
        <v>2</v>
      </c>
      <c r="D110" s="29">
        <f t="shared" ca="1" si="14"/>
        <v>1.404177861264282E-2</v>
      </c>
      <c r="E110" s="29">
        <f t="shared" ca="1" si="16"/>
        <v>3.1031572394961737E-2</v>
      </c>
      <c r="F110" s="30">
        <f t="shared" ca="1" si="17"/>
        <v>4.3297963914858382E-5</v>
      </c>
      <c r="H110" s="7">
        <f t="shared" si="22"/>
        <v>5</v>
      </c>
      <c r="I110" s="20">
        <f t="shared" si="23"/>
        <v>2</v>
      </c>
      <c r="J110" s="29">
        <f t="shared" ca="1" si="15"/>
        <v>0.13330784550769784</v>
      </c>
      <c r="K110" s="29">
        <f t="shared" ca="1" si="18"/>
        <v>4.527818859579337E-2</v>
      </c>
      <c r="L110" s="30">
        <f t="shared" ca="1" si="19"/>
        <v>1.1623830744041414E-3</v>
      </c>
    </row>
    <row r="111" spans="2:12" x14ac:dyDescent="0.25">
      <c r="B111" s="7">
        <f t="shared" si="20"/>
        <v>5</v>
      </c>
      <c r="C111" s="20">
        <f t="shared" si="21"/>
        <v>3</v>
      </c>
      <c r="D111" s="29">
        <f t="shared" ca="1" si="14"/>
        <v>6.8469968104707318E-2</v>
      </c>
      <c r="E111" s="29">
        <f t="shared" ca="1" si="16"/>
        <v>2.4896963479754307E-2</v>
      </c>
      <c r="F111" s="30">
        <f t="shared" ca="1" si="17"/>
        <v>2.8479100980692643E-4</v>
      </c>
      <c r="H111" s="7">
        <f t="shared" si="22"/>
        <v>5</v>
      </c>
      <c r="I111" s="20">
        <f t="shared" si="23"/>
        <v>3</v>
      </c>
      <c r="J111" s="29">
        <f t="shared" ca="1" si="15"/>
        <v>5.3152884005695733E-2</v>
      </c>
      <c r="K111" s="29">
        <f t="shared" ca="1" si="18"/>
        <v>3.6968959526466637E-2</v>
      </c>
      <c r="L111" s="30">
        <f t="shared" ca="1" si="19"/>
        <v>3.9287911732408611E-5</v>
      </c>
    </row>
    <row r="112" spans="2:12" x14ac:dyDescent="0.25">
      <c r="B112" s="7">
        <f t="shared" si="20"/>
        <v>5</v>
      </c>
      <c r="C112" s="20">
        <f t="shared" si="21"/>
        <v>4</v>
      </c>
      <c r="D112" s="29">
        <f t="shared" ca="1" si="14"/>
        <v>1.4268330962420061E-2</v>
      </c>
      <c r="E112" s="29">
        <f t="shared" ca="1" si="16"/>
        <v>1.9975100926979118E-2</v>
      </c>
      <c r="F112" s="30">
        <f t="shared" ca="1" si="17"/>
        <v>4.8850835142590059E-6</v>
      </c>
      <c r="H112" s="7">
        <f t="shared" si="22"/>
        <v>5</v>
      </c>
      <c r="I112" s="20">
        <f t="shared" si="23"/>
        <v>4</v>
      </c>
      <c r="J112" s="29" t="str">
        <f t="shared" ca="1" si="15"/>
        <v/>
      </c>
      <c r="K112" s="29" t="str">
        <f t="shared" ca="1" si="18"/>
        <v/>
      </c>
      <c r="L112" s="30" t="str">
        <f t="shared" ca="1" si="19"/>
        <v/>
      </c>
    </row>
    <row r="113" spans="2:14" x14ac:dyDescent="0.25">
      <c r="B113" s="7">
        <f t="shared" si="20"/>
        <v>6</v>
      </c>
      <c r="C113" s="20">
        <f t="shared" si="21"/>
        <v>1</v>
      </c>
      <c r="D113" s="29">
        <f t="shared" ca="1" si="14"/>
        <v>9.2633718422592048E-2</v>
      </c>
      <c r="E113" s="29">
        <f t="shared" ca="1" si="16"/>
        <v>4.5861232581980896E-2</v>
      </c>
      <c r="F113" s="30">
        <f t="shared" ca="1" si="17"/>
        <v>6.463556957325505E-4</v>
      </c>
      <c r="H113" s="7">
        <f t="shared" si="22"/>
        <v>6</v>
      </c>
      <c r="I113" s="20">
        <f t="shared" si="23"/>
        <v>1</v>
      </c>
      <c r="J113" s="29">
        <f t="shared" ca="1" si="15"/>
        <v>0.1555567488272597</v>
      </c>
      <c r="K113" s="29">
        <f t="shared" ca="1" si="18"/>
        <v>4.3541847185571539E-2</v>
      </c>
      <c r="L113" s="30">
        <f t="shared" ca="1" si="19"/>
        <v>3.7071681015309536E-3</v>
      </c>
    </row>
    <row r="114" spans="2:14" x14ac:dyDescent="0.25">
      <c r="B114" s="7">
        <f t="shared" si="20"/>
        <v>6</v>
      </c>
      <c r="C114" s="20">
        <f t="shared" si="21"/>
        <v>2</v>
      </c>
      <c r="D114" s="29">
        <f t="shared" ca="1" si="14"/>
        <v>7.9748005293993729E-2</v>
      </c>
      <c r="E114" s="29">
        <f t="shared" ca="1" si="16"/>
        <v>3.6794958959781222E-2</v>
      </c>
      <c r="F114" s="30">
        <f t="shared" ca="1" si="17"/>
        <v>5.4510305595584284E-4</v>
      </c>
      <c r="H114" s="7">
        <f t="shared" si="22"/>
        <v>6</v>
      </c>
      <c r="I114" s="20">
        <f t="shared" si="23"/>
        <v>2</v>
      </c>
      <c r="J114" s="29">
        <f t="shared" ca="1" si="15"/>
        <v>0.10314700053461308</v>
      </c>
      <c r="K114" s="29">
        <f t="shared" ca="1" si="18"/>
        <v>3.5551262897927413E-2</v>
      </c>
      <c r="L114" s="30">
        <f t="shared" ca="1" si="19"/>
        <v>1.3499861069640766E-3</v>
      </c>
    </row>
    <row r="115" spans="2:14" x14ac:dyDescent="0.25">
      <c r="B115" s="7">
        <f t="shared" si="20"/>
        <v>6</v>
      </c>
      <c r="C115" s="20">
        <f t="shared" si="21"/>
        <v>3</v>
      </c>
      <c r="D115" s="29" t="str">
        <f t="shared" ca="1" si="14"/>
        <v/>
      </c>
      <c r="E115" s="29" t="str">
        <f t="shared" ca="1" si="16"/>
        <v/>
      </c>
      <c r="F115" s="30" t="str">
        <f t="shared" ca="1" si="17"/>
        <v/>
      </c>
      <c r="H115" s="7">
        <f t="shared" si="22"/>
        <v>6</v>
      </c>
      <c r="I115" s="20">
        <f t="shared" si="23"/>
        <v>3</v>
      </c>
      <c r="J115" s="29" t="str">
        <f t="shared" ca="1" si="15"/>
        <v/>
      </c>
      <c r="K115" s="29" t="str">
        <f t="shared" ca="1" si="18"/>
        <v/>
      </c>
      <c r="L115" s="30" t="str">
        <f t="shared" ca="1" si="19"/>
        <v/>
      </c>
    </row>
    <row r="116" spans="2:14" x14ac:dyDescent="0.25">
      <c r="B116" s="7">
        <f t="shared" si="20"/>
        <v>6</v>
      </c>
      <c r="C116" s="20">
        <f t="shared" si="21"/>
        <v>4</v>
      </c>
      <c r="D116" s="29">
        <f t="shared" ca="1" si="14"/>
        <v>1.0395982322330166E-2</v>
      </c>
      <c r="E116" s="29">
        <f t="shared" ca="1" si="16"/>
        <v>2.3685007303884342E-2</v>
      </c>
      <c r="F116" s="30">
        <f t="shared" ca="1" si="17"/>
        <v>5.2176736465564155E-5</v>
      </c>
      <c r="H116" s="7">
        <f t="shared" si="22"/>
        <v>6</v>
      </c>
      <c r="I116" s="20">
        <f t="shared" si="23"/>
        <v>4</v>
      </c>
      <c r="J116" s="29" t="str">
        <f t="shared" ca="1" si="15"/>
        <v/>
      </c>
      <c r="K116" s="29" t="str">
        <f t="shared" ca="1" si="18"/>
        <v/>
      </c>
      <c r="L116" s="30" t="str">
        <f t="shared" ca="1" si="19"/>
        <v/>
      </c>
    </row>
    <row r="117" spans="2:14" x14ac:dyDescent="0.25">
      <c r="B117" s="7">
        <f t="shared" si="20"/>
        <v>7</v>
      </c>
      <c r="C117" s="20">
        <f t="shared" si="21"/>
        <v>1</v>
      </c>
      <c r="D117" s="29">
        <f t="shared" ca="1" si="14"/>
        <v>0.2852055164720429</v>
      </c>
      <c r="E117" s="29">
        <f t="shared" ca="1" si="16"/>
        <v>5.0875881825786312E-2</v>
      </c>
      <c r="F117" s="30">
        <f t="shared" ca="1" si="17"/>
        <v>9.2349271541708154E-3</v>
      </c>
      <c r="H117" s="7">
        <f t="shared" si="22"/>
        <v>7</v>
      </c>
      <c r="I117" s="20">
        <f t="shared" si="23"/>
        <v>1</v>
      </c>
      <c r="J117" s="29">
        <f t="shared" ca="1" si="15"/>
        <v>0.18699868629533917</v>
      </c>
      <c r="K117" s="29">
        <f t="shared" ca="1" si="18"/>
        <v>3.181740357009593E-2</v>
      </c>
      <c r="L117" s="30">
        <f t="shared" ca="1" si="19"/>
        <v>4.0500251309332699E-3</v>
      </c>
    </row>
    <row r="118" spans="2:14" x14ac:dyDescent="0.25">
      <c r="B118" s="7">
        <f t="shared" si="20"/>
        <v>7</v>
      </c>
      <c r="C118" s="20">
        <f t="shared" si="21"/>
        <v>2</v>
      </c>
      <c r="D118" s="29">
        <f t="shared" ca="1" si="14"/>
        <v>7.1661240611876259E-2</v>
      </c>
      <c r="E118" s="29">
        <f t="shared" ca="1" si="16"/>
        <v>4.0818265851799089E-2</v>
      </c>
      <c r="F118" s="30">
        <f t="shared" ca="1" si="17"/>
        <v>1.5998952911762737E-4</v>
      </c>
      <c r="H118" s="7">
        <f t="shared" si="22"/>
        <v>7</v>
      </c>
      <c r="I118" s="20">
        <f t="shared" si="23"/>
        <v>2</v>
      </c>
      <c r="J118" s="29" t="str">
        <f t="shared" ca="1" si="15"/>
        <v/>
      </c>
      <c r="K118" s="29" t="str">
        <f t="shared" ca="1" si="18"/>
        <v/>
      </c>
      <c r="L118" s="30" t="str">
        <f t="shared" ca="1" si="19"/>
        <v/>
      </c>
    </row>
    <row r="119" spans="2:14" x14ac:dyDescent="0.25">
      <c r="B119" s="7">
        <f t="shared" si="20"/>
        <v>7</v>
      </c>
      <c r="C119" s="20">
        <f t="shared" si="21"/>
        <v>3</v>
      </c>
      <c r="D119" s="29">
        <f t="shared" ca="1" si="14"/>
        <v>5.0276361951968565E-2</v>
      </c>
      <c r="E119" s="29">
        <f t="shared" ca="1" si="16"/>
        <v>3.2748932644616556E-2</v>
      </c>
      <c r="F119" s="30">
        <f t="shared" ca="1" si="17"/>
        <v>5.166726722998281E-5</v>
      </c>
      <c r="H119" s="7">
        <f t="shared" si="22"/>
        <v>7</v>
      </c>
      <c r="I119" s="20">
        <f t="shared" si="23"/>
        <v>3</v>
      </c>
      <c r="J119" s="29" t="str">
        <f t="shared" ca="1" si="15"/>
        <v/>
      </c>
      <c r="K119" s="29" t="str">
        <f t="shared" ca="1" si="18"/>
        <v/>
      </c>
      <c r="L119" s="30" t="str">
        <f t="shared" ca="1" si="19"/>
        <v/>
      </c>
    </row>
    <row r="120" spans="2:14" x14ac:dyDescent="0.25">
      <c r="B120" s="7">
        <f t="shared" si="20"/>
        <v>7</v>
      </c>
      <c r="C120" s="20">
        <f t="shared" si="21"/>
        <v>4</v>
      </c>
      <c r="D120" s="29" t="str">
        <f t="shared" ca="1" si="14"/>
        <v/>
      </c>
      <c r="E120" s="29" t="str">
        <f t="shared" ca="1" si="16"/>
        <v/>
      </c>
      <c r="F120" s="30" t="str">
        <f t="shared" ca="1" si="17"/>
        <v/>
      </c>
      <c r="H120" s="7">
        <f t="shared" si="22"/>
        <v>7</v>
      </c>
      <c r="I120" s="20">
        <f t="shared" si="23"/>
        <v>4</v>
      </c>
      <c r="J120" s="29" t="str">
        <f t="shared" ca="1" si="15"/>
        <v/>
      </c>
      <c r="K120" s="29" t="str">
        <f t="shared" ca="1" si="18"/>
        <v/>
      </c>
      <c r="L120" s="30" t="str">
        <f t="shared" ca="1" si="19"/>
        <v/>
      </c>
    </row>
    <row r="121" spans="2:14" x14ac:dyDescent="0.25">
      <c r="B121" s="7">
        <f t="shared" si="20"/>
        <v>8</v>
      </c>
      <c r="C121" s="20">
        <f t="shared" si="21"/>
        <v>1</v>
      </c>
      <c r="D121" s="29">
        <f t="shared" ca="1" si="14"/>
        <v>0.12575450124782886</v>
      </c>
      <c r="E121" s="29">
        <f t="shared" ca="1" si="16"/>
        <v>5.3721695967132208E-2</v>
      </c>
      <c r="F121" s="30">
        <f t="shared" ca="1" si="17"/>
        <v>1.1320854625323838E-3</v>
      </c>
      <c r="H121" s="7">
        <f t="shared" si="22"/>
        <v>8</v>
      </c>
      <c r="I121" s="20">
        <f t="shared" si="23"/>
        <v>1</v>
      </c>
      <c r="J121" s="29" t="str">
        <f t="shared" ca="1" si="15"/>
        <v/>
      </c>
      <c r="K121" s="29" t="str">
        <f t="shared" ca="1" si="18"/>
        <v/>
      </c>
      <c r="L121" s="30" t="str">
        <f t="shared" ca="1" si="19"/>
        <v/>
      </c>
    </row>
    <row r="122" spans="2:14" x14ac:dyDescent="0.25">
      <c r="B122" s="7">
        <f t="shared" si="20"/>
        <v>8</v>
      </c>
      <c r="C122" s="20">
        <f t="shared" si="21"/>
        <v>2</v>
      </c>
      <c r="D122" s="29">
        <f t="shared" ca="1" si="14"/>
        <v>9.5004416038901307E-2</v>
      </c>
      <c r="E122" s="29">
        <f t="shared" ca="1" si="16"/>
        <v>4.3101493071015372E-2</v>
      </c>
      <c r="F122" s="30">
        <f t="shared" ca="1" si="17"/>
        <v>5.8776292638770215E-4</v>
      </c>
      <c r="H122" s="7">
        <f t="shared" si="22"/>
        <v>8</v>
      </c>
      <c r="I122" s="20">
        <f t="shared" si="23"/>
        <v>2</v>
      </c>
      <c r="J122" s="29" t="str">
        <f t="shared" ca="1" si="15"/>
        <v/>
      </c>
      <c r="K122" s="29" t="str">
        <f t="shared" ca="1" si="18"/>
        <v/>
      </c>
      <c r="L122" s="30" t="str">
        <f t="shared" ca="1" si="19"/>
        <v/>
      </c>
    </row>
    <row r="123" spans="2:14" x14ac:dyDescent="0.25">
      <c r="B123" s="7">
        <f t="shared" si="20"/>
        <v>8</v>
      </c>
      <c r="C123" s="20">
        <f t="shared" si="21"/>
        <v>3</v>
      </c>
      <c r="D123" s="29">
        <f t="shared" ca="1" si="14"/>
        <v>0.10814046572118952</v>
      </c>
      <c r="E123" s="29">
        <f t="shared" ca="1" si="16"/>
        <v>3.4580790340040267E-2</v>
      </c>
      <c r="F123" s="30">
        <f t="shared" ca="1" si="17"/>
        <v>1.1805874564756479E-3</v>
      </c>
      <c r="H123" s="7">
        <f t="shared" si="22"/>
        <v>8</v>
      </c>
      <c r="I123" s="20">
        <f t="shared" si="23"/>
        <v>3</v>
      </c>
      <c r="J123" s="29" t="str">
        <f t="shared" ca="1" si="15"/>
        <v/>
      </c>
      <c r="K123" s="29" t="str">
        <f t="shared" ca="1" si="18"/>
        <v/>
      </c>
      <c r="L123" s="30" t="str">
        <f t="shared" ca="1" si="19"/>
        <v/>
      </c>
    </row>
    <row r="124" spans="2:14" x14ac:dyDescent="0.25">
      <c r="B124" s="7">
        <f t="shared" si="20"/>
        <v>8</v>
      </c>
      <c r="C124" s="20">
        <f t="shared" si="21"/>
        <v>4</v>
      </c>
      <c r="D124" s="29" t="str">
        <f t="shared" ca="1" si="14"/>
        <v/>
      </c>
      <c r="E124" s="29" t="str">
        <f t="shared" ca="1" si="16"/>
        <v/>
      </c>
      <c r="F124" s="30" t="str">
        <f t="shared" ca="1" si="17"/>
        <v/>
      </c>
      <c r="H124" s="7">
        <f t="shared" si="22"/>
        <v>8</v>
      </c>
      <c r="I124" s="20">
        <f t="shared" si="23"/>
        <v>4</v>
      </c>
      <c r="J124" s="29" t="str">
        <f t="shared" ca="1" si="15"/>
        <v/>
      </c>
      <c r="K124" s="29" t="str">
        <f t="shared" ca="1" si="18"/>
        <v/>
      </c>
      <c r="L124" s="30" t="str">
        <f t="shared" ca="1" si="19"/>
        <v/>
      </c>
    </row>
    <row r="126" spans="2:14" x14ac:dyDescent="0.25">
      <c r="F126" s="31">
        <f ca="1">SUMIF(F93:F124,"&lt;&gt;")</f>
        <v>1.4387450437553231E-2</v>
      </c>
      <c r="L126" s="31">
        <f ca="1">SUMIF(L93:L124,"&lt;&gt;")</f>
        <v>2.8674291386684432E-2</v>
      </c>
    </row>
    <row r="128" spans="2:14" s="3" customFormat="1" x14ac:dyDescent="0.25">
      <c r="B128" s="4" t="s">
        <v>55</v>
      </c>
      <c r="N128" s="4"/>
    </row>
    <row r="129" spans="1:14" x14ac:dyDescent="0.25">
      <c r="B129" s="25"/>
    </row>
    <row r="130" spans="1:14" x14ac:dyDescent="0.25">
      <c r="B130" s="19"/>
      <c r="C130" s="11">
        <v>1</v>
      </c>
      <c r="D130" s="11">
        <v>2</v>
      </c>
      <c r="E130" s="11">
        <v>3</v>
      </c>
      <c r="F130" s="11">
        <v>4</v>
      </c>
      <c r="G130" s="11">
        <v>5</v>
      </c>
      <c r="H130" s="11">
        <v>6</v>
      </c>
      <c r="I130" s="11">
        <v>7</v>
      </c>
      <c r="J130" s="11">
        <v>8</v>
      </c>
      <c r="K130" s="21"/>
      <c r="L130" s="21"/>
    </row>
    <row r="131" spans="1:14" x14ac:dyDescent="0.25">
      <c r="A131"/>
      <c r="B131" s="8" t="s">
        <v>12</v>
      </c>
      <c r="C131" s="9" t="s">
        <v>3</v>
      </c>
      <c r="D131" s="9" t="s">
        <v>5</v>
      </c>
      <c r="E131" s="9" t="s">
        <v>6</v>
      </c>
      <c r="F131" s="9" t="s">
        <v>7</v>
      </c>
      <c r="G131" s="9" t="s">
        <v>8</v>
      </c>
      <c r="H131" s="9" t="s">
        <v>9</v>
      </c>
      <c r="I131" s="9" t="s">
        <v>10</v>
      </c>
      <c r="J131" s="9" t="s">
        <v>11</v>
      </c>
      <c r="M131" s="25"/>
    </row>
    <row r="132" spans="1:14" x14ac:dyDescent="0.25">
      <c r="A132" s="10">
        <v>1</v>
      </c>
      <c r="B132" s="7" t="s">
        <v>3</v>
      </c>
      <c r="C132" s="23" t="str">
        <f t="shared" ref="C132:J139" si="24">IF($A132=C$130,"",IF($A132&gt;C$130,($E$85*$A132^2+$E$86*$A132+$E$87)*($E$83*EXP($E$84*($A132-C$130))),($F$85*$A132^2+$F$86*$A132+$F$87)*($F$83*EXP($F$84*(C$130-$A132)))))</f>
        <v/>
      </c>
      <c r="D132" s="23">
        <f t="shared" si="24"/>
        <v>0.1049949921285236</v>
      </c>
      <c r="E132" s="23">
        <f t="shared" si="24"/>
        <v>8.5726830839732232E-2</v>
      </c>
      <c r="F132" s="23">
        <f t="shared" si="24"/>
        <v>6.9994667144011022E-2</v>
      </c>
      <c r="G132" s="23">
        <f t="shared" si="24"/>
        <v>5.7149592264295099E-2</v>
      </c>
      <c r="H132" s="23">
        <f t="shared" si="24"/>
        <v>4.6661781950550124E-2</v>
      </c>
      <c r="I132" s="23">
        <f t="shared" si="24"/>
        <v>3.8098642676773639E-2</v>
      </c>
      <c r="J132" s="23">
        <f t="shared" si="24"/>
        <v>3.1106968339758505E-2</v>
      </c>
    </row>
    <row r="133" spans="1:14" x14ac:dyDescent="0.25">
      <c r="A133" s="10">
        <v>2</v>
      </c>
      <c r="B133" s="7" t="s">
        <v>5</v>
      </c>
      <c r="C133" s="23">
        <f t="shared" si="24"/>
        <v>4.1142845821638442E-3</v>
      </c>
      <c r="D133" s="23" t="str">
        <f t="shared" si="24"/>
        <v/>
      </c>
      <c r="E133" s="23">
        <f t="shared" si="24"/>
        <v>9.2326906224523317E-2</v>
      </c>
      <c r="F133" s="23">
        <f t="shared" si="24"/>
        <v>7.5383529360876264E-2</v>
      </c>
      <c r="G133" s="23">
        <f t="shared" si="24"/>
        <v>6.1549517158982804E-2</v>
      </c>
      <c r="H133" s="23">
        <f t="shared" si="24"/>
        <v>5.0254254405738309E-2</v>
      </c>
      <c r="I133" s="23">
        <f t="shared" si="24"/>
        <v>4.1031842367720124E-2</v>
      </c>
      <c r="J133" s="23">
        <f t="shared" si="24"/>
        <v>3.3501881741124562E-2</v>
      </c>
    </row>
    <row r="134" spans="1:14" x14ac:dyDescent="0.25">
      <c r="A134" s="10">
        <v>3</v>
      </c>
      <c r="B134" s="7" t="s">
        <v>6</v>
      </c>
      <c r="C134" s="23">
        <f t="shared" si="24"/>
        <v>1.4284560246917974E-2</v>
      </c>
      <c r="D134" s="23">
        <f t="shared" si="24"/>
        <v>1.7804274235807407E-2</v>
      </c>
      <c r="E134" s="23" t="str">
        <f t="shared" si="24"/>
        <v/>
      </c>
      <c r="F134" s="23">
        <f t="shared" si="24"/>
        <v>7.9847548778227972E-2</v>
      </c>
      <c r="G134" s="23">
        <f t="shared" si="24"/>
        <v>6.5194321827267795E-2</v>
      </c>
      <c r="H134" s="23">
        <f t="shared" si="24"/>
        <v>5.3230182561049347E-2</v>
      </c>
      <c r="I134" s="23">
        <f t="shared" si="24"/>
        <v>4.3461642917152619E-2</v>
      </c>
      <c r="J134" s="23">
        <f t="shared" si="24"/>
        <v>3.5485777319882346E-2</v>
      </c>
    </row>
    <row r="135" spans="1:14" x14ac:dyDescent="0.25">
      <c r="A135" s="10">
        <v>4</v>
      </c>
      <c r="B135" s="7" t="s">
        <v>7</v>
      </c>
      <c r="C135" s="23">
        <f t="shared" si="24"/>
        <v>1.8876852010315765E-2</v>
      </c>
      <c r="D135" s="23">
        <f t="shared" si="24"/>
        <v>2.3528106157340651E-2</v>
      </c>
      <c r="E135" s="23">
        <f t="shared" si="24"/>
        <v>2.9325428786991431E-2</v>
      </c>
      <c r="F135" s="23" t="str">
        <f t="shared" si="24"/>
        <v/>
      </c>
      <c r="G135" s="23">
        <f t="shared" si="24"/>
        <v>6.7556919789637557E-2</v>
      </c>
      <c r="H135" s="23">
        <f t="shared" si="24"/>
        <v>5.5159208238906833E-2</v>
      </c>
      <c r="I135" s="23">
        <f t="shared" si="24"/>
        <v>4.5036663350210615E-2</v>
      </c>
      <c r="J135" s="23">
        <f t="shared" si="24"/>
        <v>3.6771757798538009E-2</v>
      </c>
      <c r="K135" s="23"/>
      <c r="L135" s="23"/>
    </row>
    <row r="136" spans="1:14" x14ac:dyDescent="0.25">
      <c r="A136" s="10">
        <v>5</v>
      </c>
      <c r="B136" s="7" t="s">
        <v>8</v>
      </c>
      <c r="C136" s="23">
        <f t="shared" si="24"/>
        <v>1.9975100926979118E-2</v>
      </c>
      <c r="D136" s="23">
        <f t="shared" si="24"/>
        <v>2.4896963479754307E-2</v>
      </c>
      <c r="E136" s="23">
        <f t="shared" si="24"/>
        <v>3.1031572394961737E-2</v>
      </c>
      <c r="F136" s="23">
        <f t="shared" si="24"/>
        <v>3.8677748235715931E-2</v>
      </c>
      <c r="G136" s="23" t="str">
        <f t="shared" si="24"/>
        <v/>
      </c>
      <c r="H136" s="23">
        <f t="shared" si="24"/>
        <v>5.5455019258752077E-2</v>
      </c>
      <c r="I136" s="23">
        <f t="shared" si="24"/>
        <v>4.527818859579337E-2</v>
      </c>
      <c r="J136" s="23">
        <f t="shared" si="24"/>
        <v>3.6968959526466637E-2</v>
      </c>
      <c r="K136" s="23"/>
      <c r="L136" s="23"/>
    </row>
    <row r="137" spans="1:14" x14ac:dyDescent="0.25">
      <c r="A137" s="10">
        <v>6</v>
      </c>
      <c r="B137" s="7" t="s">
        <v>9</v>
      </c>
      <c r="C137" s="23">
        <f t="shared" si="24"/>
        <v>1.9002735483628394E-2</v>
      </c>
      <c r="D137" s="23">
        <f t="shared" si="24"/>
        <v>2.3685007303884342E-2</v>
      </c>
      <c r="E137" s="23">
        <f t="shared" si="24"/>
        <v>2.9520990357854573E-2</v>
      </c>
      <c r="F137" s="23">
        <f t="shared" si="24"/>
        <v>3.6794958959781222E-2</v>
      </c>
      <c r="G137" s="23">
        <f t="shared" si="24"/>
        <v>4.5861232581980896E-2</v>
      </c>
      <c r="H137" s="23" t="str">
        <f t="shared" si="24"/>
        <v/>
      </c>
      <c r="I137" s="23">
        <f t="shared" si="24"/>
        <v>4.3541847185571539E-2</v>
      </c>
      <c r="J137" s="23">
        <f t="shared" si="24"/>
        <v>3.5551262897927413E-2</v>
      </c>
      <c r="K137" s="23"/>
      <c r="L137" s="23"/>
    </row>
    <row r="138" spans="1:14" x14ac:dyDescent="0.25">
      <c r="A138" s="10">
        <v>7</v>
      </c>
      <c r="B138" s="7" t="s">
        <v>10</v>
      </c>
      <c r="C138" s="23">
        <f t="shared" si="24"/>
        <v>1.6913167510175457E-2</v>
      </c>
      <c r="D138" s="23">
        <f t="shared" si="24"/>
        <v>2.1080570024007761E-2</v>
      </c>
      <c r="E138" s="23">
        <f t="shared" si="24"/>
        <v>2.6274820034138249E-2</v>
      </c>
      <c r="F138" s="23">
        <f t="shared" si="24"/>
        <v>3.2748932644616556E-2</v>
      </c>
      <c r="G138" s="23">
        <f t="shared" si="24"/>
        <v>4.0818265851799089E-2</v>
      </c>
      <c r="H138" s="23">
        <f t="shared" si="24"/>
        <v>5.0875881825786312E-2</v>
      </c>
      <c r="I138" s="23" t="str">
        <f t="shared" si="24"/>
        <v/>
      </c>
      <c r="J138" s="23">
        <f t="shared" si="24"/>
        <v>3.181740357009593E-2</v>
      </c>
      <c r="K138" s="23"/>
      <c r="L138" s="23"/>
    </row>
    <row r="139" spans="1:14" x14ac:dyDescent="0.25">
      <c r="A139" s="10">
        <v>8</v>
      </c>
      <c r="B139" s="7" t="s">
        <v>11</v>
      </c>
      <c r="C139" s="23">
        <f t="shared" si="24"/>
        <v>1.4328651339056822E-2</v>
      </c>
      <c r="D139" s="23">
        <f t="shared" si="24"/>
        <v>1.7859229367937966E-2</v>
      </c>
      <c r="E139" s="23">
        <f t="shared" si="24"/>
        <v>2.2259741413849836E-2</v>
      </c>
      <c r="F139" s="23">
        <f t="shared" si="24"/>
        <v>2.7744539117740854E-2</v>
      </c>
      <c r="G139" s="23">
        <f t="shared" si="24"/>
        <v>3.4580790340040267E-2</v>
      </c>
      <c r="H139" s="23">
        <f t="shared" si="24"/>
        <v>4.3101493071015372E-2</v>
      </c>
      <c r="I139" s="23">
        <f t="shared" si="24"/>
        <v>5.3721695967132208E-2</v>
      </c>
      <c r="J139" s="23" t="str">
        <f t="shared" si="24"/>
        <v/>
      </c>
      <c r="K139" s="23"/>
      <c r="L139" s="23"/>
    </row>
    <row r="140" spans="1:14" x14ac:dyDescent="0.25">
      <c r="A140" s="21"/>
      <c r="B140" s="24"/>
    </row>
    <row r="141" spans="1:14" x14ac:dyDescent="0.25">
      <c r="A141" s="21"/>
      <c r="B141" s="5" t="s">
        <v>45</v>
      </c>
      <c r="C141" s="39">
        <f ca="1">SUM(F126,L126,G89,H89)</f>
        <v>2.0601785039248899</v>
      </c>
      <c r="E141" s="5" t="s">
        <v>57</v>
      </c>
      <c r="F141" s="40">
        <f>IF(COUNTIF($C$132:$J$139,"&lt;0")=0,1,0)</f>
        <v>1</v>
      </c>
    </row>
    <row r="142" spans="1:14" x14ac:dyDescent="0.25">
      <c r="A142" s="21"/>
      <c r="B142" s="24"/>
    </row>
    <row r="143" spans="1:14" s="2" customFormat="1" x14ac:dyDescent="0.25">
      <c r="B143" s="1" t="s">
        <v>20</v>
      </c>
    </row>
    <row r="144" spans="1:14" customFormat="1" x14ac:dyDescent="0.25">
      <c r="B144" s="41"/>
      <c r="N144" s="41"/>
    </row>
    <row r="145" spans="1:15" x14ac:dyDescent="0.25">
      <c r="B145" s="19"/>
      <c r="C145" s="11">
        <v>1</v>
      </c>
      <c r="D145" s="11">
        <v>2</v>
      </c>
      <c r="E145" s="11">
        <v>3</v>
      </c>
      <c r="F145" s="11">
        <v>4</v>
      </c>
      <c r="G145" s="11">
        <v>5</v>
      </c>
      <c r="H145" s="11">
        <v>6</v>
      </c>
      <c r="I145" s="11">
        <v>7</v>
      </c>
      <c r="J145" s="11">
        <v>8</v>
      </c>
      <c r="M145" s="25" t="s">
        <v>46</v>
      </c>
    </row>
    <row r="146" spans="1:15" x14ac:dyDescent="0.25">
      <c r="A146"/>
      <c r="B146" s="8" t="s">
        <v>12</v>
      </c>
      <c r="C146" s="9" t="s">
        <v>3</v>
      </c>
      <c r="D146" s="9" t="s">
        <v>5</v>
      </c>
      <c r="E146" s="9" t="s">
        <v>6</v>
      </c>
      <c r="F146" s="9" t="s">
        <v>7</v>
      </c>
      <c r="G146" s="9" t="s">
        <v>8</v>
      </c>
      <c r="H146" s="9" t="s">
        <v>9</v>
      </c>
      <c r="I146" s="9" t="s">
        <v>10</v>
      </c>
      <c r="J146" s="9" t="s">
        <v>11</v>
      </c>
      <c r="M146" s="8" t="s">
        <v>12</v>
      </c>
      <c r="N146" s="9" t="s">
        <v>47</v>
      </c>
      <c r="O146" s="9" t="s">
        <v>48</v>
      </c>
    </row>
    <row r="147" spans="1:15" x14ac:dyDescent="0.25">
      <c r="A147" s="10">
        <v>1</v>
      </c>
      <c r="B147" s="7" t="s">
        <v>3</v>
      </c>
      <c r="C147" s="23">
        <f>IF($A147=C$145,1-SUMIFS($C132:$J132,$C$130:$J$130,"&lt;&gt;"&amp;C$145),C132)</f>
        <v>0.56626652465635563</v>
      </c>
      <c r="D147" s="23">
        <f t="shared" ref="D147:J147" si="25">IF($A147=D$145,1-SUMIFS($C132:$J132,$C$130:$J$130,"&lt;&gt;"&amp;D$145),D132)</f>
        <v>0.1049949921285236</v>
      </c>
      <c r="E147" s="23">
        <f t="shared" si="25"/>
        <v>8.5726830839732232E-2</v>
      </c>
      <c r="F147" s="23">
        <f t="shared" si="25"/>
        <v>6.9994667144011022E-2</v>
      </c>
      <c r="G147" s="23">
        <f t="shared" si="25"/>
        <v>5.7149592264295099E-2</v>
      </c>
      <c r="H147" s="23">
        <f t="shared" si="25"/>
        <v>4.6661781950550124E-2</v>
      </c>
      <c r="I147" s="23">
        <f t="shared" si="25"/>
        <v>3.8098642676773639E-2</v>
      </c>
      <c r="J147" s="23">
        <f t="shared" si="25"/>
        <v>3.1106968339758505E-2</v>
      </c>
      <c r="L147" s="10">
        <v>1</v>
      </c>
      <c r="M147" s="7" t="s">
        <v>3</v>
      </c>
      <c r="N147" s="23" t="str">
        <f t="shared" ref="N147:N154" ca="1" si="26">G23</f>
        <v/>
      </c>
      <c r="O147" s="23">
        <f t="shared" ref="O147:O154" si="27">VLOOKUP($M147,$B$146:$J$154,MATCH($M147,$B$146:$J$146,0),FALSE)</f>
        <v>0.56626652465635563</v>
      </c>
    </row>
    <row r="148" spans="1:15" x14ac:dyDescent="0.25">
      <c r="A148" s="10">
        <v>2</v>
      </c>
      <c r="B148" s="7" t="s">
        <v>5</v>
      </c>
      <c r="C148" s="23">
        <f t="shared" ref="C148:J148" si="28">IF($A148=C$145,1-SUMIFS($C133:$J133,$C$130:$J$130,"&lt;&gt;"&amp;C$145),C133)</f>
        <v>4.1142845821638442E-3</v>
      </c>
      <c r="D148" s="23">
        <f t="shared" si="28"/>
        <v>0.64183778415887072</v>
      </c>
      <c r="E148" s="23">
        <f t="shared" si="28"/>
        <v>9.2326906224523317E-2</v>
      </c>
      <c r="F148" s="23">
        <f t="shared" si="28"/>
        <v>7.5383529360876264E-2</v>
      </c>
      <c r="G148" s="23">
        <f t="shared" si="28"/>
        <v>6.1549517158982804E-2</v>
      </c>
      <c r="H148" s="23">
        <f t="shared" si="28"/>
        <v>5.0254254405738309E-2</v>
      </c>
      <c r="I148" s="23">
        <f t="shared" si="28"/>
        <v>4.1031842367720124E-2</v>
      </c>
      <c r="J148" s="23">
        <f t="shared" si="28"/>
        <v>3.3501881741124562E-2</v>
      </c>
      <c r="L148" s="10">
        <v>2</v>
      </c>
      <c r="M148" s="7" t="s">
        <v>5</v>
      </c>
      <c r="N148" s="23">
        <f t="shared" ca="1" si="26"/>
        <v>0.34945744875667795</v>
      </c>
      <c r="O148" s="23">
        <f t="shared" si="27"/>
        <v>0.64183778415887072</v>
      </c>
    </row>
    <row r="149" spans="1:15" x14ac:dyDescent="0.25">
      <c r="A149" s="10">
        <v>3</v>
      </c>
      <c r="B149" s="7" t="s">
        <v>6</v>
      </c>
      <c r="C149" s="23">
        <f t="shared" ref="C149:J149" si="29">IF($A149=C$145,1-SUMIFS($C134:$J134,$C$130:$J$130,"&lt;&gt;"&amp;C$145),C134)</f>
        <v>1.4284560246917974E-2</v>
      </c>
      <c r="D149" s="23">
        <f t="shared" si="29"/>
        <v>1.7804274235807407E-2</v>
      </c>
      <c r="E149" s="23">
        <f t="shared" si="29"/>
        <v>0.69069169211369452</v>
      </c>
      <c r="F149" s="23">
        <f t="shared" si="29"/>
        <v>7.9847548778227972E-2</v>
      </c>
      <c r="G149" s="23">
        <f t="shared" si="29"/>
        <v>6.5194321827267795E-2</v>
      </c>
      <c r="H149" s="23">
        <f t="shared" si="29"/>
        <v>5.3230182561049347E-2</v>
      </c>
      <c r="I149" s="23">
        <f t="shared" si="29"/>
        <v>4.3461642917152619E-2</v>
      </c>
      <c r="J149" s="23">
        <f t="shared" si="29"/>
        <v>3.5485777319882346E-2</v>
      </c>
      <c r="L149" s="10">
        <v>3</v>
      </c>
      <c r="M149" s="7" t="s">
        <v>6</v>
      </c>
      <c r="N149" s="23">
        <f t="shared" ca="1" si="26"/>
        <v>8.863238299464897E-2</v>
      </c>
      <c r="O149" s="23">
        <f t="shared" si="27"/>
        <v>0.69069169211369452</v>
      </c>
    </row>
    <row r="150" spans="1:15" x14ac:dyDescent="0.25">
      <c r="A150" s="10">
        <v>4</v>
      </c>
      <c r="B150" s="7" t="s">
        <v>7</v>
      </c>
      <c r="C150" s="23">
        <f t="shared" ref="C150:J150" si="30">IF($A150=C$145,1-SUMIFS($C135:$J135,$C$130:$J$130,"&lt;&gt;"&amp;C$145),C135)</f>
        <v>1.8876852010315765E-2</v>
      </c>
      <c r="D150" s="23">
        <f t="shared" si="30"/>
        <v>2.3528106157340651E-2</v>
      </c>
      <c r="E150" s="23">
        <f t="shared" si="30"/>
        <v>2.9325428786991431E-2</v>
      </c>
      <c r="F150" s="23">
        <f t="shared" si="30"/>
        <v>0.72374506386805915</v>
      </c>
      <c r="G150" s="23">
        <f t="shared" si="30"/>
        <v>6.7556919789637557E-2</v>
      </c>
      <c r="H150" s="23">
        <f t="shared" si="30"/>
        <v>5.5159208238906833E-2</v>
      </c>
      <c r="I150" s="23">
        <f t="shared" si="30"/>
        <v>4.5036663350210615E-2</v>
      </c>
      <c r="J150" s="23">
        <f t="shared" si="30"/>
        <v>3.6771757798538009E-2</v>
      </c>
      <c r="L150" s="10">
        <v>4</v>
      </c>
      <c r="M150" s="7" t="s">
        <v>7</v>
      </c>
      <c r="N150" s="23">
        <f t="shared" ca="1" si="26"/>
        <v>0.20371380439859482</v>
      </c>
      <c r="O150" s="23">
        <f t="shared" si="27"/>
        <v>0.72374506386805915</v>
      </c>
    </row>
    <row r="151" spans="1:15" x14ac:dyDescent="0.25">
      <c r="A151" s="10">
        <v>5</v>
      </c>
      <c r="B151" s="7" t="s">
        <v>8</v>
      </c>
      <c r="C151" s="23">
        <f t="shared" ref="C151:J151" si="31">IF($A151=C$145,1-SUMIFS($C136:$J136,$C$130:$J$130,"&lt;&gt;"&amp;C$145),C136)</f>
        <v>1.9975100926979118E-2</v>
      </c>
      <c r="D151" s="23">
        <f t="shared" si="31"/>
        <v>2.4896963479754307E-2</v>
      </c>
      <c r="E151" s="23">
        <f t="shared" si="31"/>
        <v>3.1031572394961737E-2</v>
      </c>
      <c r="F151" s="23">
        <f t="shared" si="31"/>
        <v>3.8677748235715931E-2</v>
      </c>
      <c r="G151" s="23">
        <f t="shared" si="31"/>
        <v>0.74771644758157685</v>
      </c>
      <c r="H151" s="23">
        <f t="shared" si="31"/>
        <v>5.5455019258752077E-2</v>
      </c>
      <c r="I151" s="23">
        <f t="shared" si="31"/>
        <v>4.527818859579337E-2</v>
      </c>
      <c r="J151" s="23">
        <f t="shared" si="31"/>
        <v>3.6968959526466637E-2</v>
      </c>
      <c r="L151" s="10">
        <v>5</v>
      </c>
      <c r="M151" s="7" t="s">
        <v>8</v>
      </c>
      <c r="N151" s="23">
        <f t="shared" ca="1" si="26"/>
        <v>0.33740508171165395</v>
      </c>
      <c r="O151" s="23">
        <f t="shared" si="27"/>
        <v>0.74771644758157685</v>
      </c>
    </row>
    <row r="152" spans="1:15" x14ac:dyDescent="0.25">
      <c r="A152" s="10">
        <v>6</v>
      </c>
      <c r="B152" s="7" t="s">
        <v>9</v>
      </c>
      <c r="C152" s="23">
        <f t="shared" ref="C152:J152" si="32">IF($A152=C$145,1-SUMIFS($C137:$J137,$C$130:$J$130,"&lt;&gt;"&amp;C$145),C137)</f>
        <v>1.9002735483628394E-2</v>
      </c>
      <c r="D152" s="23">
        <f t="shared" si="32"/>
        <v>2.3685007303884342E-2</v>
      </c>
      <c r="E152" s="23">
        <f t="shared" si="32"/>
        <v>2.9520990357854573E-2</v>
      </c>
      <c r="F152" s="23">
        <f t="shared" si="32"/>
        <v>3.6794958959781222E-2</v>
      </c>
      <c r="G152" s="23">
        <f t="shared" si="32"/>
        <v>4.5861232581980896E-2</v>
      </c>
      <c r="H152" s="23">
        <f t="shared" si="32"/>
        <v>0.76604196522937162</v>
      </c>
      <c r="I152" s="23">
        <f t="shared" si="32"/>
        <v>4.3541847185571539E-2</v>
      </c>
      <c r="J152" s="23">
        <f t="shared" si="32"/>
        <v>3.5551262897927413E-2</v>
      </c>
      <c r="L152" s="10">
        <v>6</v>
      </c>
      <c r="M152" s="7" t="s">
        <v>9</v>
      </c>
      <c r="N152" s="23">
        <f t="shared" ca="1" si="26"/>
        <v>0.35851854459921129</v>
      </c>
      <c r="O152" s="23">
        <f t="shared" si="27"/>
        <v>0.76604196522937162</v>
      </c>
    </row>
    <row r="153" spans="1:15" x14ac:dyDescent="0.25">
      <c r="A153" s="10">
        <v>7</v>
      </c>
      <c r="B153" s="7" t="s">
        <v>10</v>
      </c>
      <c r="C153" s="23">
        <f t="shared" ref="C153:J153" si="33">IF($A153=C$145,1-SUMIFS($C138:$J138,$C$130:$J$130,"&lt;&gt;"&amp;C$145),C138)</f>
        <v>1.6913167510175457E-2</v>
      </c>
      <c r="D153" s="23">
        <f t="shared" si="33"/>
        <v>2.1080570024007761E-2</v>
      </c>
      <c r="E153" s="23">
        <f t="shared" si="33"/>
        <v>2.6274820034138249E-2</v>
      </c>
      <c r="F153" s="23">
        <f t="shared" si="33"/>
        <v>3.2748932644616556E-2</v>
      </c>
      <c r="G153" s="23">
        <f t="shared" si="33"/>
        <v>4.0818265851799089E-2</v>
      </c>
      <c r="H153" s="23">
        <f t="shared" si="33"/>
        <v>5.0875881825786312E-2</v>
      </c>
      <c r="I153" s="23">
        <f t="shared" si="33"/>
        <v>0.77947095853938064</v>
      </c>
      <c r="J153" s="23">
        <f t="shared" si="33"/>
        <v>3.181740357009593E-2</v>
      </c>
      <c r="L153" s="10">
        <v>7</v>
      </c>
      <c r="M153" s="7" t="s">
        <v>10</v>
      </c>
      <c r="N153" s="23">
        <f t="shared" ca="1" si="26"/>
        <v>0.2058581946687732</v>
      </c>
      <c r="O153" s="23">
        <f t="shared" si="27"/>
        <v>0.77947095853938064</v>
      </c>
    </row>
    <row r="154" spans="1:15" x14ac:dyDescent="0.25">
      <c r="A154" s="10">
        <v>8</v>
      </c>
      <c r="B154" s="7" t="s">
        <v>11</v>
      </c>
      <c r="C154" s="23">
        <f t="shared" ref="C154:J154" si="34">IF($A154=C$145,1-SUMIFS($C139:$J139,$C$130:$J$130,"&lt;&gt;"&amp;C$145),C139)</f>
        <v>1.4328651339056822E-2</v>
      </c>
      <c r="D154" s="23">
        <f t="shared" si="34"/>
        <v>1.7859229367937966E-2</v>
      </c>
      <c r="E154" s="23">
        <f t="shared" si="34"/>
        <v>2.2259741413849836E-2</v>
      </c>
      <c r="F154" s="23">
        <f t="shared" si="34"/>
        <v>2.7744539117740854E-2</v>
      </c>
      <c r="G154" s="23">
        <f t="shared" si="34"/>
        <v>3.4580790340040267E-2</v>
      </c>
      <c r="H154" s="23">
        <f t="shared" si="34"/>
        <v>4.3101493071015372E-2</v>
      </c>
      <c r="I154" s="23">
        <f t="shared" si="34"/>
        <v>5.3721695967132208E-2</v>
      </c>
      <c r="J154" s="23">
        <f t="shared" si="34"/>
        <v>0.78640385938322666</v>
      </c>
      <c r="L154" s="10">
        <v>8</v>
      </c>
      <c r="M154" s="7" t="s">
        <v>11</v>
      </c>
      <c r="N154" s="23">
        <f t="shared" ca="1" si="26"/>
        <v>0.47110061699208028</v>
      </c>
      <c r="O154" s="23">
        <f t="shared" si="27"/>
        <v>0.78640385938322666</v>
      </c>
    </row>
    <row r="156" spans="1:15" x14ac:dyDescent="0.25">
      <c r="A156" s="21"/>
      <c r="B156" s="24"/>
    </row>
    <row r="157" spans="1:15" x14ac:dyDescent="0.25">
      <c r="A157" s="21"/>
      <c r="B157" s="24"/>
    </row>
    <row r="158" spans="1:15" x14ac:dyDescent="0.25">
      <c r="A158" s="21"/>
      <c r="B158" s="24"/>
    </row>
    <row r="159" spans="1:15" x14ac:dyDescent="0.25">
      <c r="A159" s="21"/>
      <c r="B159" s="24"/>
    </row>
    <row r="160" spans="1:15" x14ac:dyDescent="0.25">
      <c r="A160" s="21"/>
      <c r="B160" s="24"/>
    </row>
    <row r="161" spans="1:2" x14ac:dyDescent="0.25">
      <c r="A161" s="21"/>
      <c r="B161" s="24"/>
    </row>
    <row r="162" spans="1:2" x14ac:dyDescent="0.25">
      <c r="A162" s="21"/>
      <c r="B162" s="24"/>
    </row>
    <row r="163" spans="1:2" x14ac:dyDescent="0.25">
      <c r="A163" s="21"/>
      <c r="B163" s="24"/>
    </row>
    <row r="164" spans="1:2" x14ac:dyDescent="0.25">
      <c r="A164" s="21"/>
      <c r="B164" s="24"/>
    </row>
    <row r="165" spans="1:2" x14ac:dyDescent="0.25">
      <c r="A165" s="21"/>
      <c r="B165" s="24"/>
    </row>
    <row r="166" spans="1:2" x14ac:dyDescent="0.25">
      <c r="A166" s="21"/>
      <c r="B166" s="24"/>
    </row>
  </sheetData>
  <conditionalFormatting sqref="C167:M167 C155:M155 C147:J154 M156:M16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7:N154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{49BEFB53-E3D6-4E7A-9712-8E69FC6D31DB}</x14:id>
        </ext>
      </extLst>
    </cfRule>
  </conditionalFormatting>
  <conditionalFormatting sqref="O147:O15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{1A14F32C-2612-4472-AA14-90B26228FF5E}</x14:id>
        </ext>
      </extLst>
    </cfRule>
  </conditionalFormatting>
  <conditionalFormatting sqref="C9:J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nential">
                <anchor moveWithCells="1">
                  <from>
                    <xdr:col>9</xdr:col>
                    <xdr:colOff>9525</xdr:colOff>
                    <xdr:row>34</xdr:row>
                    <xdr:rowOff>152400</xdr:rowOff>
                  </from>
                  <to>
                    <xdr:col>11</xdr:col>
                    <xdr:colOff>238125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56</xdr:row>
                    <xdr:rowOff>0</xdr:rowOff>
                  </from>
                  <to>
                    <xdr:col>11</xdr:col>
                    <xdr:colOff>238125</xdr:colOff>
                    <xdr:row>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78</xdr:row>
                    <xdr:rowOff>0</xdr:rowOff>
                  </from>
                  <to>
                    <xdr:col>11</xdr:col>
                    <xdr:colOff>238125</xdr:colOff>
                    <xdr:row>80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BEFB53-E3D6-4E7A-9712-8E69FC6D31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N147:N154</xm:sqref>
        </x14:conditionalFormatting>
        <x14:conditionalFormatting xmlns:xm="http://schemas.microsoft.com/office/excel/2006/main">
          <x14:cfRule type="dataBar" id="{1A14F32C-2612-4472-AA14-90B26228F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O147:O154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41D2-25C0-48CE-BD5D-90AB306C106B}">
  <sheetPr codeName="Sheet4"/>
  <dimension ref="A1:AC72"/>
  <sheetViews>
    <sheetView showGridLines="0" workbookViewId="0">
      <selection activeCell="I45" sqref="I45"/>
    </sheetView>
  </sheetViews>
  <sheetFormatPr defaultRowHeight="15" x14ac:dyDescent="0.25"/>
  <cols>
    <col min="1" max="1" width="5.140625" customWidth="1"/>
    <col min="2" max="5" width="11.140625" customWidth="1"/>
    <col min="6" max="6" width="5.140625" customWidth="1"/>
    <col min="7" max="9" width="11.140625" customWidth="1"/>
    <col min="10" max="10" width="5.140625" customWidth="1"/>
    <col min="11" max="16" width="11.140625" customWidth="1"/>
    <col min="17" max="17" width="5.140625" customWidth="1"/>
    <col min="18" max="18" width="12.28515625" customWidth="1"/>
    <col min="19" max="25" width="11.140625" customWidth="1"/>
    <col min="26" max="26" width="10.85546875" customWidth="1"/>
    <col min="27" max="29" width="12.28515625" customWidth="1"/>
  </cols>
  <sheetData>
    <row r="1" spans="1:14" s="2" customFormat="1" x14ac:dyDescent="0.25">
      <c r="B1" s="1" t="s">
        <v>68</v>
      </c>
    </row>
    <row r="2" spans="1:14" ht="15.75" thickBot="1" x14ac:dyDescent="0.3"/>
    <row r="3" spans="1:14" ht="15.75" thickBot="1" x14ac:dyDescent="0.3">
      <c r="B3" s="12" t="s">
        <v>14</v>
      </c>
      <c r="C3" s="46" t="str">
        <f>'1| Parameter'!$C$3</f>
        <v>Retail</v>
      </c>
    </row>
    <row r="5" spans="1:14" s="3" customFormat="1" x14ac:dyDescent="0.25">
      <c r="B5" s="4" t="s">
        <v>74</v>
      </c>
      <c r="G5" s="4"/>
      <c r="K5" s="4"/>
    </row>
    <row r="7" spans="1:14" x14ac:dyDescent="0.25">
      <c r="B7" s="8" t="s">
        <v>12</v>
      </c>
      <c r="C7" s="9" t="s">
        <v>71</v>
      </c>
      <c r="D7" s="9" t="s">
        <v>23</v>
      </c>
      <c r="E7" s="9" t="s">
        <v>49</v>
      </c>
    </row>
    <row r="8" spans="1:14" x14ac:dyDescent="0.25">
      <c r="A8" s="10">
        <v>1</v>
      </c>
      <c r="B8" s="7" t="s">
        <v>3</v>
      </c>
      <c r="C8">
        <f>SUMIFS(RATING_DATA!$E:$E,RATING_DATA!$A:$A,'4| Default'!$C$3,RATING_DATA!$D:$D,'4| Default'!$C$7,RATING_DATA!$C:$C,'4| Default'!$B8)</f>
        <v>0</v>
      </c>
      <c r="D8">
        <f>SUMIFS(RATING_DATA!$E:$E,RATING_DATA!$A:$A,'4| Default'!$C$3,RATING_DATA!$C:$C,'4| Default'!$B8)</f>
        <v>2</v>
      </c>
      <c r="E8" s="13">
        <f>C8/D8</f>
        <v>0</v>
      </c>
      <c r="F8" s="15"/>
    </row>
    <row r="9" spans="1:14" x14ac:dyDescent="0.25">
      <c r="A9" s="10">
        <v>2</v>
      </c>
      <c r="B9" s="7" t="s">
        <v>5</v>
      </c>
      <c r="C9">
        <f>SUMIFS(RATING_DATA!$E:$E,RATING_DATA!$A:$A,'4| Default'!$C$3,RATING_DATA!$D:$D,'4| Default'!$C$7,RATING_DATA!$C:$C,'4| Default'!$B9)</f>
        <v>0</v>
      </c>
      <c r="D9">
        <f>SUMIFS(RATING_DATA!$E:$E,RATING_DATA!$A:$A,'4| Default'!$C$3,RATING_DATA!$C:$C,'4| Default'!$B9)</f>
        <v>6</v>
      </c>
      <c r="E9" s="13">
        <f t="shared" ref="E9:E15" si="0">C9/D9</f>
        <v>0</v>
      </c>
      <c r="F9" s="15"/>
    </row>
    <row r="10" spans="1:14" x14ac:dyDescent="0.25">
      <c r="A10" s="10">
        <v>3</v>
      </c>
      <c r="B10" s="7" t="s">
        <v>6</v>
      </c>
      <c r="C10">
        <f>SUMIFS(RATING_DATA!$E:$E,RATING_DATA!$A:$A,'4| Default'!$C$3,RATING_DATA!$D:$D,'4| Default'!$C$7,RATING_DATA!$C:$C,'4| Default'!$B10)</f>
        <v>0</v>
      </c>
      <c r="D10">
        <f>SUMIFS(RATING_DATA!$E:$E,RATING_DATA!$A:$A,'4| Default'!$C$3,RATING_DATA!$C:$C,'4| Default'!$B10)</f>
        <v>9</v>
      </c>
      <c r="E10" s="13">
        <f t="shared" si="0"/>
        <v>0</v>
      </c>
      <c r="F10" s="15"/>
    </row>
    <row r="11" spans="1:14" x14ac:dyDescent="0.25">
      <c r="A11" s="10">
        <v>4</v>
      </c>
      <c r="B11" s="7" t="s">
        <v>7</v>
      </c>
      <c r="C11">
        <f>SUMIFS(RATING_DATA!$E:$E,RATING_DATA!$A:$A,'4| Default'!$C$3,RATING_DATA!$D:$D,'4| Default'!$C$7,RATING_DATA!$C:$C,'4| Default'!$B11)</f>
        <v>0</v>
      </c>
      <c r="D11">
        <f>SUMIFS(RATING_DATA!$E:$E,RATING_DATA!$A:$A,'4| Default'!$C$3,RATING_DATA!$C:$C,'4| Default'!$B11)</f>
        <v>20</v>
      </c>
      <c r="E11" s="13">
        <f t="shared" si="0"/>
        <v>0</v>
      </c>
      <c r="F11" s="15"/>
    </row>
    <row r="12" spans="1:14" x14ac:dyDescent="0.25">
      <c r="A12" s="10">
        <v>5</v>
      </c>
      <c r="B12" s="7" t="s">
        <v>8</v>
      </c>
      <c r="C12">
        <f>SUMIFS(RATING_DATA!$E:$E,RATING_DATA!$A:$A,'4| Default'!$C$3,RATING_DATA!$D:$D,'4| Default'!$C$7,RATING_DATA!$C:$C,'4| Default'!$B12)</f>
        <v>1</v>
      </c>
      <c r="D12">
        <f>SUMIFS(RATING_DATA!$E:$E,RATING_DATA!$A:$A,'4| Default'!$C$3,RATING_DATA!$C:$C,'4| Default'!$B12)</f>
        <v>34</v>
      </c>
      <c r="E12" s="13">
        <f t="shared" si="0"/>
        <v>2.9411764705882353E-2</v>
      </c>
      <c r="F12" s="15"/>
    </row>
    <row r="13" spans="1:14" x14ac:dyDescent="0.25">
      <c r="A13" s="10">
        <v>6</v>
      </c>
      <c r="B13" s="7" t="s">
        <v>9</v>
      </c>
      <c r="C13">
        <f>SUMIFS(RATING_DATA!$E:$E,RATING_DATA!$A:$A,'4| Default'!$C$3,RATING_DATA!$D:$D,'4| Default'!$C$7,RATING_DATA!$C:$C,'4| Default'!$B13)</f>
        <v>1</v>
      </c>
      <c r="D13">
        <f>SUMIFS(RATING_DATA!$E:$E,RATING_DATA!$A:$A,'4| Default'!$C$3,RATING_DATA!$C:$C,'4| Default'!$B13)</f>
        <v>66</v>
      </c>
      <c r="E13" s="13">
        <f t="shared" si="0"/>
        <v>1.5151515151515152E-2</v>
      </c>
      <c r="F13" s="15"/>
    </row>
    <row r="14" spans="1:14" x14ac:dyDescent="0.25">
      <c r="A14" s="10">
        <v>7</v>
      </c>
      <c r="B14" s="7" t="s">
        <v>10</v>
      </c>
      <c r="C14">
        <f>SUMIFS(RATING_DATA!$E:$E,RATING_DATA!$A:$A,'4| Default'!$C$3,RATING_DATA!$D:$D,'4| Default'!$C$7,RATING_DATA!$C:$C,'4| Default'!$B14)</f>
        <v>3</v>
      </c>
      <c r="D14">
        <f>SUMIFS(RATING_DATA!$E:$E,RATING_DATA!$A:$A,'4| Default'!$C$3,RATING_DATA!$C:$C,'4| Default'!$B14)</f>
        <v>40</v>
      </c>
      <c r="E14" s="13">
        <f t="shared" si="0"/>
        <v>7.4999999999999997E-2</v>
      </c>
      <c r="F14" s="15"/>
    </row>
    <row r="15" spans="1:14" x14ac:dyDescent="0.25">
      <c r="A15" s="10">
        <v>8</v>
      </c>
      <c r="B15" s="7" t="s">
        <v>11</v>
      </c>
      <c r="C15">
        <f>SUMIFS(RATING_DATA!$E:$E,RATING_DATA!$A:$A,'4| Default'!$C$3,RATING_DATA!$D:$D,'4| Default'!$C$7,RATING_DATA!$C:$C,'4| Default'!$B15)</f>
        <v>7</v>
      </c>
      <c r="D15">
        <f>SUMIFS(RATING_DATA!$E:$E,RATING_DATA!$A:$A,'4| Default'!$C$3,RATING_DATA!$C:$C,'4| Default'!$B15)</f>
        <v>55</v>
      </c>
      <c r="E15" s="13">
        <f t="shared" si="0"/>
        <v>0.12727272727272726</v>
      </c>
      <c r="F15" s="15"/>
    </row>
    <row r="16" spans="1:14" x14ac:dyDescent="0.25">
      <c r="A16" s="10"/>
      <c r="B16" s="49"/>
      <c r="E16" s="13"/>
      <c r="F16" s="15"/>
      <c r="G16" s="49"/>
      <c r="H16" s="43"/>
      <c r="I16" s="13"/>
      <c r="K16" s="49"/>
      <c r="L16" s="43"/>
      <c r="M16" s="13"/>
      <c r="N16" s="13"/>
    </row>
    <row r="17" spans="1:21" s="3" customFormat="1" x14ac:dyDescent="0.25">
      <c r="B17" s="4" t="s">
        <v>92</v>
      </c>
      <c r="G17" s="4" t="s">
        <v>93</v>
      </c>
      <c r="K17" s="4"/>
    </row>
    <row r="19" spans="1:21" x14ac:dyDescent="0.25">
      <c r="B19" s="8" t="s">
        <v>12</v>
      </c>
      <c r="C19" s="9" t="s">
        <v>79</v>
      </c>
      <c r="D19" s="9" t="s">
        <v>89</v>
      </c>
      <c r="G19" s="44" t="s">
        <v>90</v>
      </c>
      <c r="H19" s="44" t="s">
        <v>91</v>
      </c>
      <c r="I19" s="13"/>
    </row>
    <row r="20" spans="1:21" x14ac:dyDescent="0.25">
      <c r="A20" s="10">
        <v>1</v>
      </c>
      <c r="B20" s="7" t="s">
        <v>3</v>
      </c>
      <c r="C20">
        <v>1</v>
      </c>
      <c r="D20" s="43">
        <f>IF(E8=0,LN(0.01%)+C20,LN(E8))</f>
        <v>-8.2103403719761818</v>
      </c>
      <c r="G20" s="43">
        <f>INTERCEPT(D20:D27,C20:C27)</f>
        <v>-8.8594632331170509</v>
      </c>
      <c r="H20" s="43">
        <f>SLOPE(D20:D27,C20:C27)</f>
        <v>0.87962885857683604</v>
      </c>
      <c r="I20" s="13"/>
    </row>
    <row r="21" spans="1:21" x14ac:dyDescent="0.25">
      <c r="A21" s="10">
        <v>2</v>
      </c>
      <c r="B21" s="7" t="s">
        <v>5</v>
      </c>
      <c r="C21">
        <v>2</v>
      </c>
      <c r="D21" s="43">
        <f t="shared" ref="D21:D27" si="1">IF(E9=0,LN(0.01%)+C21,LN(E9))</f>
        <v>-7.2103403719761818</v>
      </c>
      <c r="I21" s="13"/>
    </row>
    <row r="22" spans="1:21" x14ac:dyDescent="0.25">
      <c r="A22" s="10">
        <v>3</v>
      </c>
      <c r="B22" s="7" t="s">
        <v>6</v>
      </c>
      <c r="C22">
        <v>3</v>
      </c>
      <c r="D22" s="43">
        <f t="shared" si="1"/>
        <v>-6.2103403719761818</v>
      </c>
      <c r="I22" s="13"/>
      <c r="K22" s="43"/>
      <c r="L22" s="13"/>
    </row>
    <row r="23" spans="1:21" x14ac:dyDescent="0.25">
      <c r="A23" s="10">
        <v>4</v>
      </c>
      <c r="B23" s="7" t="s">
        <v>7</v>
      </c>
      <c r="C23">
        <v>4</v>
      </c>
      <c r="D23" s="43">
        <f t="shared" si="1"/>
        <v>-5.2103403719761818</v>
      </c>
      <c r="K23" s="43"/>
      <c r="L23" s="13"/>
    </row>
    <row r="24" spans="1:21" x14ac:dyDescent="0.25">
      <c r="A24" s="10">
        <v>5</v>
      </c>
      <c r="B24" s="7" t="s">
        <v>8</v>
      </c>
      <c r="C24">
        <v>5</v>
      </c>
      <c r="D24" s="43">
        <f t="shared" si="1"/>
        <v>-3.5263605246161616</v>
      </c>
      <c r="G24" s="43"/>
      <c r="H24" s="43"/>
      <c r="I24" s="43"/>
      <c r="K24" s="43"/>
      <c r="L24" s="13"/>
    </row>
    <row r="25" spans="1:21" x14ac:dyDescent="0.25">
      <c r="A25" s="10">
        <v>6</v>
      </c>
      <c r="B25" s="7" t="s">
        <v>9</v>
      </c>
      <c r="C25">
        <v>6</v>
      </c>
      <c r="D25" s="43">
        <f t="shared" si="1"/>
        <v>-4.1896547420264252</v>
      </c>
      <c r="G25" s="43"/>
      <c r="H25" s="43"/>
      <c r="I25" s="43"/>
      <c r="K25" s="43"/>
      <c r="L25" s="13"/>
    </row>
    <row r="26" spans="1:21" x14ac:dyDescent="0.25">
      <c r="A26" s="10">
        <v>7</v>
      </c>
      <c r="B26" s="7" t="s">
        <v>10</v>
      </c>
      <c r="C26">
        <v>7</v>
      </c>
      <c r="D26" s="43">
        <f t="shared" si="1"/>
        <v>-2.5902671654458267</v>
      </c>
      <c r="G26" s="43"/>
      <c r="H26" s="43"/>
      <c r="I26" s="43"/>
      <c r="K26" s="43"/>
      <c r="L26" s="13"/>
    </row>
    <row r="27" spans="1:21" x14ac:dyDescent="0.25">
      <c r="A27" s="10">
        <v>8</v>
      </c>
      <c r="B27" s="7" t="s">
        <v>11</v>
      </c>
      <c r="C27">
        <v>8</v>
      </c>
      <c r="D27" s="43">
        <f t="shared" si="1"/>
        <v>-2.0614230361771577</v>
      </c>
      <c r="K27" s="43"/>
      <c r="L27" s="13"/>
    </row>
    <row r="28" spans="1:21" x14ac:dyDescent="0.25">
      <c r="L28" s="13"/>
    </row>
    <row r="29" spans="1:21" s="3" customFormat="1" x14ac:dyDescent="0.25">
      <c r="B29" s="4" t="s">
        <v>73</v>
      </c>
      <c r="G29" s="4"/>
      <c r="K29" s="4"/>
      <c r="R29" s="4" t="s">
        <v>94</v>
      </c>
    </row>
    <row r="30" spans="1:21" x14ac:dyDescent="0.25">
      <c r="L30" s="13"/>
    </row>
    <row r="31" spans="1:21" x14ac:dyDescent="0.25">
      <c r="B31" s="16" t="s">
        <v>58</v>
      </c>
      <c r="C31" s="33">
        <f>'1| Parameter'!$C$7</f>
        <v>2.5793008962380834E-2</v>
      </c>
      <c r="L31" s="13"/>
      <c r="R31" s="58" t="s">
        <v>97</v>
      </c>
      <c r="S31" s="58" t="s">
        <v>98</v>
      </c>
      <c r="T31" s="58" t="s">
        <v>99</v>
      </c>
      <c r="U31" s="58" t="s">
        <v>100</v>
      </c>
    </row>
    <row r="32" spans="1:21" x14ac:dyDescent="0.25">
      <c r="L32" s="13"/>
      <c r="R32" s="59" t="s">
        <v>101</v>
      </c>
      <c r="S32" s="60" t="s">
        <v>102</v>
      </c>
      <c r="T32" s="60" t="s">
        <v>103</v>
      </c>
      <c r="U32" s="60" t="s">
        <v>104</v>
      </c>
    </row>
    <row r="33" spans="1:29" x14ac:dyDescent="0.25">
      <c r="B33" s="8" t="s">
        <v>12</v>
      </c>
      <c r="C33" s="9" t="s">
        <v>44</v>
      </c>
      <c r="D33" s="9" t="s">
        <v>80</v>
      </c>
      <c r="K33" t="str">
        <f>$C$3&amp;" - "&amp;$B$1</f>
        <v>Retail - Default Calibration</v>
      </c>
      <c r="L33" s="13"/>
      <c r="R33" s="61" t="s">
        <v>105</v>
      </c>
      <c r="S33" s="60" t="s">
        <v>106</v>
      </c>
      <c r="T33" s="60" t="s">
        <v>107</v>
      </c>
      <c r="U33" s="60" t="s">
        <v>108</v>
      </c>
    </row>
    <row r="34" spans="1:29" x14ac:dyDescent="0.25">
      <c r="A34" s="10">
        <v>1</v>
      </c>
      <c r="B34" s="7" t="s">
        <v>3</v>
      </c>
      <c r="C34" s="13">
        <f>EXP($G$20+$H$20*A34)</f>
        <v>3.4229611077112975E-4</v>
      </c>
      <c r="D34" s="13">
        <f>C34*$G$37</f>
        <v>1.4713569293756503E-4</v>
      </c>
      <c r="L34" s="13"/>
      <c r="R34" s="62" t="s">
        <v>109</v>
      </c>
      <c r="S34" s="60" t="s">
        <v>110</v>
      </c>
      <c r="T34" s="60" t="s">
        <v>111</v>
      </c>
      <c r="U34" s="60" t="s">
        <v>112</v>
      </c>
    </row>
    <row r="35" spans="1:29" x14ac:dyDescent="0.25">
      <c r="A35" s="10">
        <v>2</v>
      </c>
      <c r="B35" s="7" t="s">
        <v>5</v>
      </c>
      <c r="C35" s="13">
        <f t="shared" ref="C35:C41" si="2">EXP($G$20+$H$20*A35)</f>
        <v>8.2493536845641767E-4</v>
      </c>
      <c r="D35" s="13">
        <f t="shared" ref="D35:D41" si="3">C35*$G$37</f>
        <v>3.5459776856096802E-4</v>
      </c>
      <c r="L35" s="13"/>
    </row>
    <row r="36" spans="1:29" x14ac:dyDescent="0.25">
      <c r="A36" s="10">
        <v>3</v>
      </c>
      <c r="B36" s="7" t="s">
        <v>6</v>
      </c>
      <c r="C36" s="13">
        <f t="shared" si="2"/>
        <v>1.9880984349989928E-3</v>
      </c>
      <c r="D36" s="13">
        <f t="shared" si="3"/>
        <v>8.545824263170021E-4</v>
      </c>
      <c r="G36" s="44" t="s">
        <v>77</v>
      </c>
      <c r="H36" s="44" t="s">
        <v>51</v>
      </c>
      <c r="L36" s="13"/>
      <c r="R36" s="41" t="s">
        <v>117</v>
      </c>
    </row>
    <row r="37" spans="1:29" x14ac:dyDescent="0.25">
      <c r="A37" s="10">
        <v>4</v>
      </c>
      <c r="B37" s="7" t="s">
        <v>7</v>
      </c>
      <c r="C37" s="13">
        <f t="shared" si="2"/>
        <v>4.7913273431847841E-3</v>
      </c>
      <c r="D37" s="13">
        <f t="shared" si="3"/>
        <v>2.0595479952781729E-3</v>
      </c>
      <c r="E37" s="13"/>
      <c r="G37" s="43">
        <v>0.42984915196989987</v>
      </c>
      <c r="H37" s="13">
        <f>SUMPRODUCT(D34:D41,D8:D15)/SUM(D8:D15)</f>
        <v>2.5792981928690884E-2</v>
      </c>
      <c r="R37" s="8" t="s">
        <v>12</v>
      </c>
      <c r="S37" s="9" t="s">
        <v>23</v>
      </c>
      <c r="T37" s="9" t="s">
        <v>75</v>
      </c>
      <c r="U37" s="9" t="s">
        <v>95</v>
      </c>
      <c r="V37" s="9" t="s">
        <v>96</v>
      </c>
      <c r="W37" s="9" t="s">
        <v>113</v>
      </c>
      <c r="X37" s="9" t="s">
        <v>98</v>
      </c>
      <c r="Y37" s="9" t="s">
        <v>100</v>
      </c>
      <c r="AA37" s="8" t="s">
        <v>114</v>
      </c>
      <c r="AB37" s="9" t="s">
        <v>115</v>
      </c>
      <c r="AC37" s="9" t="s">
        <v>116</v>
      </c>
    </row>
    <row r="38" spans="1:29" x14ac:dyDescent="0.25">
      <c r="A38" s="10">
        <v>5</v>
      </c>
      <c r="B38" s="7" t="s">
        <v>8</v>
      </c>
      <c r="C38" s="13">
        <f t="shared" si="2"/>
        <v>1.154712327388446E-2</v>
      </c>
      <c r="D38" s="13">
        <f t="shared" si="3"/>
        <v>4.9635211469711291E-3</v>
      </c>
      <c r="E38" s="13"/>
      <c r="R38" s="7" t="s">
        <v>11</v>
      </c>
      <c r="S38">
        <f t="shared" ref="S38:S45" si="4">VLOOKUP($R38,$B$7:$D$15,3,FALSE)</f>
        <v>55</v>
      </c>
      <c r="T38">
        <f t="shared" ref="T38:T45" si="5">ROUND(S38*VLOOKUP($R38,$B$33:$D$41,3,FALSE),0)</f>
        <v>4</v>
      </c>
      <c r="U38">
        <f>S38-T38</f>
        <v>51</v>
      </c>
      <c r="V38" s="13">
        <v>0</v>
      </c>
      <c r="W38" s="13">
        <v>0</v>
      </c>
      <c r="X38" s="13">
        <v>0</v>
      </c>
      <c r="Y38" s="63">
        <f t="shared" ref="Y38:Y46" si="6">IFERROR(ABS(W38-V38),"")</f>
        <v>0</v>
      </c>
      <c r="AA38" s="7" t="s">
        <v>98</v>
      </c>
      <c r="AB38" s="15">
        <f>SUM(X38:X46)</f>
        <v>0.46828908554572268</v>
      </c>
      <c r="AC38" s="60" t="str">
        <f>IF(AB38&lt;0.5,"Fail",IF(AND(AB38&gt;=0.5,AB38&lt;=0.6),"Monitor","Pass"))</f>
        <v>Fail</v>
      </c>
    </row>
    <row r="39" spans="1:29" x14ac:dyDescent="0.25">
      <c r="A39" s="10">
        <v>6</v>
      </c>
      <c r="B39" s="7" t="s">
        <v>9</v>
      </c>
      <c r="C39" s="13">
        <f t="shared" si="2"/>
        <v>2.7828625838295568E-2</v>
      </c>
      <c r="D39" s="13">
        <f t="shared" si="3"/>
        <v>1.1962111217078993E-2</v>
      </c>
      <c r="E39" s="13"/>
      <c r="G39" s="5" t="s">
        <v>45</v>
      </c>
      <c r="H39" s="39">
        <f>ABS(H37-C31)</f>
        <v>2.7033689949801376E-8</v>
      </c>
      <c r="R39" s="7" t="s">
        <v>10</v>
      </c>
      <c r="S39">
        <f t="shared" si="4"/>
        <v>40</v>
      </c>
      <c r="T39">
        <f t="shared" si="5"/>
        <v>1</v>
      </c>
      <c r="U39">
        <f t="shared" ref="U39:U45" si="7">S39-T39</f>
        <v>39</v>
      </c>
      <c r="V39" s="63">
        <f>IF(OR(V38=1,V38=""),"",SUM(T38:T$38)/SUM(T$38:T$45))</f>
        <v>0.66666666666666663</v>
      </c>
      <c r="W39" s="63">
        <f>IF(OR(W38=1,W38=""),"",SUM(U38:U$38)/SUM(U$38:U$45))</f>
        <v>0.22566371681415928</v>
      </c>
      <c r="X39" s="63">
        <f>IFERROR(IF(ISNA(W39),"",-0.5*(W38-W39)*(V38+V39)),"")</f>
        <v>7.5221238938053089E-2</v>
      </c>
      <c r="Y39" s="63">
        <f t="shared" si="6"/>
        <v>0.44100294985250732</v>
      </c>
      <c r="AA39" s="7" t="s">
        <v>99</v>
      </c>
      <c r="AB39" s="22">
        <f>2*AB38-1</f>
        <v>-6.3421828908554634E-2</v>
      </c>
      <c r="AC39" s="60" t="str">
        <f>IF(AB39&lt;0.2,"Fail",IF(AND(AB39&gt;=0.2,AB39&lt;=0.4),"Monitor","Pass"))</f>
        <v>Fail</v>
      </c>
    </row>
    <row r="40" spans="1:29" x14ac:dyDescent="0.25">
      <c r="A40" s="10">
        <v>7</v>
      </c>
      <c r="B40" s="7" t="s">
        <v>10</v>
      </c>
      <c r="C40" s="13">
        <f t="shared" si="2"/>
        <v>6.7067129853835269E-2</v>
      </c>
      <c r="D40" s="13">
        <f t="shared" si="3"/>
        <v>2.8828748892726245E-2</v>
      </c>
      <c r="E40" s="13"/>
      <c r="R40" s="7" t="s">
        <v>9</v>
      </c>
      <c r="S40">
        <f t="shared" si="4"/>
        <v>66</v>
      </c>
      <c r="T40">
        <f t="shared" si="5"/>
        <v>1</v>
      </c>
      <c r="U40">
        <f t="shared" si="7"/>
        <v>65</v>
      </c>
      <c r="V40" s="63">
        <f>IF(OR(V39=1,V39=""),"",SUM(T$38:T39)/SUM(T$38:T$45))</f>
        <v>0.83333333333333337</v>
      </c>
      <c r="W40" s="63">
        <f>IF(OR(W39=1,W39=""),"",SUM(U$38:U39)/SUM(U$38:U$45))</f>
        <v>0.39823008849557523</v>
      </c>
      <c r="X40" s="63">
        <f t="shared" ref="X40:X46" si="8">IFERROR(IF(ISNA(W40),"",-0.5*(W39-W40)*(V39+V40)),"")</f>
        <v>0.12942477876106195</v>
      </c>
      <c r="Y40" s="63">
        <f t="shared" si="6"/>
        <v>0.43510324483775814</v>
      </c>
      <c r="AA40" s="7" t="s">
        <v>100</v>
      </c>
      <c r="AB40" s="15">
        <f>MAX(Y38:Y46)</f>
        <v>0.44100294985250732</v>
      </c>
      <c r="AC40" s="60" t="str">
        <f>IF(AB40&lt;0.34,"Fail",IF(AND(AB40&gt;=0.34,AB40&lt;=0.43),"Monitor","Pass"))</f>
        <v>Pass</v>
      </c>
    </row>
    <row r="41" spans="1:29" x14ac:dyDescent="0.25">
      <c r="A41" s="10">
        <v>8</v>
      </c>
      <c r="B41" s="7" t="s">
        <v>11</v>
      </c>
      <c r="C41" s="13">
        <f t="shared" si="2"/>
        <v>0.16163212416480169</v>
      </c>
      <c r="D41" s="13">
        <f t="shared" si="3"/>
        <v>6.9477431503333562E-2</v>
      </c>
      <c r="E41" s="13"/>
      <c r="R41" s="7" t="s">
        <v>8</v>
      </c>
      <c r="S41">
        <f t="shared" si="4"/>
        <v>34</v>
      </c>
      <c r="T41">
        <f t="shared" si="5"/>
        <v>0</v>
      </c>
      <c r="U41">
        <f t="shared" si="7"/>
        <v>34</v>
      </c>
      <c r="V41" s="63">
        <f>IF(OR(V40=1,V40=""),"",SUM(T$38:T40)/SUM(T$38:T$45))</f>
        <v>1</v>
      </c>
      <c r="W41" s="63">
        <f>IF(OR(W40=1,W40=""),"",SUM(U$38:U40)/SUM(U$38:U$45))</f>
        <v>0.68584070796460173</v>
      </c>
      <c r="X41" s="63">
        <f t="shared" si="8"/>
        <v>0.26364306784660763</v>
      </c>
      <c r="Y41" s="63">
        <f t="shared" si="6"/>
        <v>0.31415929203539827</v>
      </c>
    </row>
    <row r="42" spans="1:29" x14ac:dyDescent="0.25">
      <c r="R42" s="7" t="s">
        <v>7</v>
      </c>
      <c r="S42">
        <f t="shared" si="4"/>
        <v>20</v>
      </c>
      <c r="T42">
        <f t="shared" si="5"/>
        <v>0</v>
      </c>
      <c r="U42">
        <f t="shared" si="7"/>
        <v>20</v>
      </c>
      <c r="V42" s="63" t="str">
        <f>IF(OR(V41=1,V41=""),"",SUM(T$38:T41)/SUM(T$38:T$45))</f>
        <v/>
      </c>
      <c r="W42" s="63">
        <f>IF(OR(W41=1,W41=""),"",SUM(U$38:U41)/SUM(U$38:U$45))</f>
        <v>0.83628318584070793</v>
      </c>
      <c r="X42" s="63" t="str">
        <f t="shared" si="8"/>
        <v/>
      </c>
      <c r="Y42" s="63" t="str">
        <f t="shared" si="6"/>
        <v/>
      </c>
    </row>
    <row r="43" spans="1:29" x14ac:dyDescent="0.25">
      <c r="R43" s="7" t="s">
        <v>6</v>
      </c>
      <c r="S43">
        <f t="shared" si="4"/>
        <v>9</v>
      </c>
      <c r="T43">
        <f t="shared" si="5"/>
        <v>0</v>
      </c>
      <c r="U43">
        <f t="shared" si="7"/>
        <v>9</v>
      </c>
      <c r="V43" s="63" t="str">
        <f>IF(OR(V42=1,V42=""),"",SUM(T$38:T42)/SUM(T$38:T$45))</f>
        <v/>
      </c>
      <c r="W43" s="63">
        <f>IF(OR(W42=1,W42=""),"",SUM(U$38:U42)/SUM(U$38:U$45))</f>
        <v>0.9247787610619469</v>
      </c>
      <c r="X43" s="63" t="str">
        <f t="shared" si="8"/>
        <v/>
      </c>
      <c r="Y43" s="63" t="str">
        <f t="shared" si="6"/>
        <v/>
      </c>
    </row>
    <row r="44" spans="1:29" x14ac:dyDescent="0.25">
      <c r="R44" s="7" t="s">
        <v>5</v>
      </c>
      <c r="S44">
        <f t="shared" si="4"/>
        <v>6</v>
      </c>
      <c r="T44">
        <f t="shared" si="5"/>
        <v>0</v>
      </c>
      <c r="U44">
        <f t="shared" si="7"/>
        <v>6</v>
      </c>
      <c r="V44" s="63" t="str">
        <f>IF(OR(V43=1,V43=""),"",SUM(T$38:T43)/SUM(T$38:T$45))</f>
        <v/>
      </c>
      <c r="W44" s="63">
        <f>IF(OR(W43=1,W43=""),"",SUM(U$38:U43)/SUM(U$38:U$45))</f>
        <v>0.96460176991150437</v>
      </c>
      <c r="X44" s="63" t="str">
        <f t="shared" si="8"/>
        <v/>
      </c>
      <c r="Y44" s="63" t="str">
        <f t="shared" si="6"/>
        <v/>
      </c>
    </row>
    <row r="45" spans="1:29" x14ac:dyDescent="0.25">
      <c r="R45" s="7" t="s">
        <v>3</v>
      </c>
      <c r="S45">
        <f t="shared" si="4"/>
        <v>2</v>
      </c>
      <c r="T45">
        <f t="shared" si="5"/>
        <v>0</v>
      </c>
      <c r="U45">
        <f t="shared" si="7"/>
        <v>2</v>
      </c>
      <c r="V45" s="63" t="str">
        <f>IF(OR(V44=1,V44=""),"",SUM(T$38:T44)/SUM(T$38:T$45))</f>
        <v/>
      </c>
      <c r="W45" s="63">
        <f>IF(OR(W44=1,W44=""),"",SUM(U$38:U44)/SUM(U$38:U$45))</f>
        <v>0.99115044247787609</v>
      </c>
      <c r="X45" s="63" t="str">
        <f t="shared" si="8"/>
        <v/>
      </c>
      <c r="Y45" s="63" t="str">
        <f t="shared" si="6"/>
        <v/>
      </c>
    </row>
    <row r="46" spans="1:29" x14ac:dyDescent="0.25">
      <c r="V46" s="63" t="str">
        <f>IF(OR(V45=1,V45=""),"",SUM(T$38:T45)/SUM(T$38:T$45))</f>
        <v/>
      </c>
      <c r="W46" s="63">
        <f>IF(OR(W45=1,W45=""),"",SUM(U$38:U45)/SUM(U$38:U$45))</f>
        <v>1</v>
      </c>
      <c r="X46" s="63" t="str">
        <f t="shared" si="8"/>
        <v/>
      </c>
      <c r="Y46" s="63" t="str">
        <f t="shared" si="6"/>
        <v/>
      </c>
    </row>
    <row r="48" spans="1:29" x14ac:dyDescent="0.25">
      <c r="R48" t="s">
        <v>118</v>
      </c>
    </row>
    <row r="49" spans="18:28" x14ac:dyDescent="0.25">
      <c r="R49" s="58" t="s">
        <v>116</v>
      </c>
      <c r="S49" s="67" t="s">
        <v>97</v>
      </c>
      <c r="T49" s="67"/>
      <c r="U49" s="67"/>
      <c r="V49" s="67"/>
      <c r="W49" s="67"/>
      <c r="X49" s="67"/>
      <c r="Y49" s="67"/>
    </row>
    <row r="50" spans="18:28" x14ac:dyDescent="0.25">
      <c r="R50" s="58" t="s">
        <v>119</v>
      </c>
      <c r="S50" s="66" t="s">
        <v>120</v>
      </c>
      <c r="T50" s="66"/>
      <c r="U50" s="66"/>
      <c r="V50" s="66"/>
      <c r="W50" s="66"/>
      <c r="X50" s="66"/>
      <c r="Y50" s="66"/>
    </row>
    <row r="51" spans="18:28" x14ac:dyDescent="0.25">
      <c r="R51" s="64" t="s">
        <v>109</v>
      </c>
      <c r="S51" s="66" t="s">
        <v>121</v>
      </c>
      <c r="T51" s="66"/>
      <c r="U51" s="66"/>
      <c r="V51" s="66"/>
      <c r="W51" s="66"/>
      <c r="X51" s="66"/>
      <c r="Y51" s="66"/>
    </row>
    <row r="52" spans="18:28" x14ac:dyDescent="0.25">
      <c r="R52" s="64" t="s">
        <v>105</v>
      </c>
      <c r="S52" s="66" t="s">
        <v>122</v>
      </c>
      <c r="T52" s="66"/>
      <c r="U52" s="66"/>
      <c r="V52" s="66"/>
      <c r="W52" s="66"/>
      <c r="X52" s="66"/>
      <c r="Y52" s="66"/>
    </row>
    <row r="53" spans="18:28" x14ac:dyDescent="0.25">
      <c r="R53" s="64" t="s">
        <v>101</v>
      </c>
      <c r="S53" s="66" t="s">
        <v>123</v>
      </c>
      <c r="T53" s="66"/>
      <c r="U53" s="66"/>
      <c r="V53" s="66"/>
      <c r="W53" s="66"/>
      <c r="X53" s="66"/>
      <c r="Y53" s="66"/>
    </row>
    <row r="55" spans="18:28" x14ac:dyDescent="0.25">
      <c r="R55" t="s">
        <v>124</v>
      </c>
    </row>
    <row r="56" spans="18:28" x14ac:dyDescent="0.25">
      <c r="R56" s="58" t="s">
        <v>116</v>
      </c>
      <c r="S56" s="67" t="s">
        <v>97</v>
      </c>
      <c r="T56" s="67"/>
      <c r="U56" s="67"/>
      <c r="V56" s="67"/>
      <c r="W56" s="67"/>
      <c r="X56" s="67"/>
      <c r="Y56" s="67"/>
    </row>
    <row r="57" spans="18:28" x14ac:dyDescent="0.25">
      <c r="R57" s="58" t="s">
        <v>119</v>
      </c>
      <c r="S57" s="66" t="s">
        <v>120</v>
      </c>
      <c r="T57" s="66"/>
      <c r="U57" s="66"/>
      <c r="V57" s="66"/>
      <c r="W57" s="66"/>
      <c r="X57" s="66"/>
      <c r="Y57" s="66"/>
    </row>
    <row r="58" spans="18:28" x14ac:dyDescent="0.25">
      <c r="R58" s="64" t="s">
        <v>109</v>
      </c>
      <c r="S58" s="66" t="s">
        <v>125</v>
      </c>
      <c r="T58" s="66"/>
      <c r="U58" s="66"/>
      <c r="V58" s="66"/>
      <c r="W58" s="66"/>
      <c r="X58" s="66"/>
      <c r="Y58" s="66"/>
    </row>
    <row r="59" spans="18:28" x14ac:dyDescent="0.25">
      <c r="R59" s="64" t="s">
        <v>105</v>
      </c>
      <c r="S59" s="66" t="s">
        <v>122</v>
      </c>
      <c r="T59" s="66"/>
      <c r="U59" s="66"/>
      <c r="V59" s="66"/>
      <c r="W59" s="66"/>
      <c r="X59" s="66"/>
      <c r="Y59" s="66"/>
    </row>
    <row r="60" spans="18:28" x14ac:dyDescent="0.25">
      <c r="R60" s="64" t="s">
        <v>101</v>
      </c>
      <c r="S60" s="66" t="s">
        <v>126</v>
      </c>
      <c r="T60" s="66"/>
      <c r="U60" s="66"/>
      <c r="V60" s="66"/>
      <c r="W60" s="66"/>
      <c r="X60" s="66"/>
      <c r="Y60" s="66"/>
    </row>
    <row r="63" spans="18:28" x14ac:dyDescent="0.25">
      <c r="R63" s="41" t="s">
        <v>127</v>
      </c>
      <c r="W63" s="11">
        <f>(1-VALUE(LEFT($W$64,3)))/2</f>
        <v>2.5000000000000022E-2</v>
      </c>
      <c r="X63" s="11">
        <f>1-(1-VALUE(LEFT($X$64,3)))/2</f>
        <v>0.97499999999999998</v>
      </c>
      <c r="Y63" s="11">
        <f>(1-VALUE(LEFT($Y$64,3)))/2</f>
        <v>5.0000000000000044E-3</v>
      </c>
      <c r="Z63" s="11">
        <f>1-(1-VALUE(LEFT($Z$64,3)))/2</f>
        <v>0.995</v>
      </c>
    </row>
    <row r="64" spans="18:28" x14ac:dyDescent="0.25">
      <c r="R64" s="8" t="s">
        <v>12</v>
      </c>
      <c r="S64" s="9" t="s">
        <v>128</v>
      </c>
      <c r="T64" s="9" t="s">
        <v>49</v>
      </c>
      <c r="U64" s="9" t="s">
        <v>23</v>
      </c>
      <c r="V64" s="9" t="s">
        <v>71</v>
      </c>
      <c r="W64" s="9" t="s">
        <v>129</v>
      </c>
      <c r="X64" s="9" t="s">
        <v>130</v>
      </c>
      <c r="Y64" s="9" t="s">
        <v>131</v>
      </c>
      <c r="Z64" s="9" t="s">
        <v>132</v>
      </c>
      <c r="AA64" s="9" t="s">
        <v>133</v>
      </c>
      <c r="AB64" s="9" t="s">
        <v>134</v>
      </c>
    </row>
    <row r="65" spans="18:28" x14ac:dyDescent="0.25">
      <c r="R65" s="7" t="s">
        <v>3</v>
      </c>
      <c r="S65" s="15">
        <f t="shared" ref="S65:S72" si="9">D34</f>
        <v>1.4713569293756503E-4</v>
      </c>
      <c r="T65" s="15">
        <f t="shared" ref="T65:V72" si="10">VLOOKUP($R65,$B$7:$E$15,MATCH(T$64,$B$7:$E$7,0),FALSE)</f>
        <v>0</v>
      </c>
      <c r="U65">
        <f t="shared" si="10"/>
        <v>2</v>
      </c>
      <c r="V65">
        <f t="shared" si="10"/>
        <v>0</v>
      </c>
      <c r="W65" s="15">
        <f t="shared" ref="W65:Z72" si="11">CRITBINOM($U65,$S65,W$63)/$U65</f>
        <v>0</v>
      </c>
      <c r="X65" s="15">
        <f t="shared" si="11"/>
        <v>0</v>
      </c>
      <c r="Y65" s="15">
        <f t="shared" si="11"/>
        <v>0</v>
      </c>
      <c r="Z65" s="15">
        <f t="shared" si="11"/>
        <v>0</v>
      </c>
      <c r="AA65" s="65" t="str">
        <f t="shared" ref="AA65:AA72" si="12">IF($V65=0,"Inconclusive",IF(T65&gt;Z65,"Fail",IF(T65&gt;X65,"Monitor","Pass")))</f>
        <v>Inconclusive</v>
      </c>
      <c r="AB65" s="65" t="str">
        <f t="shared" ref="AB65:AB72" si="13">IF($V65=0,"Inconclusive",IF(T65&lt;Y65,"Fail",IF(T65&lt;W65,"Monitor","Pass")))</f>
        <v>Inconclusive</v>
      </c>
    </row>
    <row r="66" spans="18:28" x14ac:dyDescent="0.25">
      <c r="R66" s="7" t="s">
        <v>5</v>
      </c>
      <c r="S66" s="15">
        <f t="shared" si="9"/>
        <v>3.5459776856096802E-4</v>
      </c>
      <c r="T66" s="15">
        <f t="shared" si="10"/>
        <v>0</v>
      </c>
      <c r="U66">
        <f t="shared" si="10"/>
        <v>6</v>
      </c>
      <c r="V66">
        <f t="shared" si="10"/>
        <v>0</v>
      </c>
      <c r="W66" s="15">
        <f t="shared" si="11"/>
        <v>0</v>
      </c>
      <c r="X66" s="15">
        <f t="shared" si="11"/>
        <v>0</v>
      </c>
      <c r="Y66" s="15">
        <f t="shared" si="11"/>
        <v>0</v>
      </c>
      <c r="Z66" s="15">
        <f t="shared" si="11"/>
        <v>0</v>
      </c>
      <c r="AA66" s="65" t="str">
        <f t="shared" si="12"/>
        <v>Inconclusive</v>
      </c>
      <c r="AB66" s="65" t="str">
        <f t="shared" si="13"/>
        <v>Inconclusive</v>
      </c>
    </row>
    <row r="67" spans="18:28" x14ac:dyDescent="0.25">
      <c r="R67" s="7" t="s">
        <v>6</v>
      </c>
      <c r="S67" s="15">
        <f t="shared" si="9"/>
        <v>8.545824263170021E-4</v>
      </c>
      <c r="T67" s="15">
        <f t="shared" si="10"/>
        <v>0</v>
      </c>
      <c r="U67">
        <f t="shared" si="10"/>
        <v>9</v>
      </c>
      <c r="V67">
        <f t="shared" si="10"/>
        <v>0</v>
      </c>
      <c r="W67" s="15">
        <f t="shared" si="11"/>
        <v>0</v>
      </c>
      <c r="X67" s="15">
        <f t="shared" si="11"/>
        <v>0</v>
      </c>
      <c r="Y67" s="15">
        <f t="shared" si="11"/>
        <v>0</v>
      </c>
      <c r="Z67" s="15">
        <f t="shared" si="11"/>
        <v>0.1111111111111111</v>
      </c>
      <c r="AA67" s="65" t="str">
        <f t="shared" si="12"/>
        <v>Inconclusive</v>
      </c>
      <c r="AB67" s="65" t="str">
        <f t="shared" si="13"/>
        <v>Inconclusive</v>
      </c>
    </row>
    <row r="68" spans="18:28" x14ac:dyDescent="0.25">
      <c r="R68" s="7" t="s">
        <v>7</v>
      </c>
      <c r="S68" s="15">
        <f t="shared" si="9"/>
        <v>2.0595479952781729E-3</v>
      </c>
      <c r="T68" s="15">
        <f t="shared" si="10"/>
        <v>0</v>
      </c>
      <c r="U68">
        <f t="shared" si="10"/>
        <v>20</v>
      </c>
      <c r="V68">
        <f t="shared" si="10"/>
        <v>0</v>
      </c>
      <c r="W68" s="15">
        <f t="shared" si="11"/>
        <v>0</v>
      </c>
      <c r="X68" s="15">
        <f t="shared" si="11"/>
        <v>0.05</v>
      </c>
      <c r="Y68" s="15">
        <f t="shared" si="11"/>
        <v>0</v>
      </c>
      <c r="Z68" s="15">
        <f t="shared" si="11"/>
        <v>0.05</v>
      </c>
      <c r="AA68" s="65" t="str">
        <f t="shared" si="12"/>
        <v>Inconclusive</v>
      </c>
      <c r="AB68" s="65" t="str">
        <f t="shared" si="13"/>
        <v>Inconclusive</v>
      </c>
    </row>
    <row r="69" spans="18:28" x14ac:dyDescent="0.25">
      <c r="R69" s="7" t="s">
        <v>8</v>
      </c>
      <c r="S69" s="15">
        <f t="shared" si="9"/>
        <v>4.9635211469711291E-3</v>
      </c>
      <c r="T69" s="15">
        <f t="shared" si="10"/>
        <v>2.9411764705882353E-2</v>
      </c>
      <c r="U69">
        <f t="shared" si="10"/>
        <v>34</v>
      </c>
      <c r="V69">
        <f t="shared" si="10"/>
        <v>1</v>
      </c>
      <c r="W69" s="15">
        <f t="shared" si="11"/>
        <v>0</v>
      </c>
      <c r="X69" s="15">
        <f t="shared" si="11"/>
        <v>2.9411764705882353E-2</v>
      </c>
      <c r="Y69" s="15">
        <f t="shared" si="11"/>
        <v>0</v>
      </c>
      <c r="Z69" s="15">
        <f t="shared" si="11"/>
        <v>5.8823529411764705E-2</v>
      </c>
      <c r="AA69" s="65" t="str">
        <f t="shared" si="12"/>
        <v>Pass</v>
      </c>
      <c r="AB69" s="65" t="str">
        <f t="shared" si="13"/>
        <v>Pass</v>
      </c>
    </row>
    <row r="70" spans="18:28" x14ac:dyDescent="0.25">
      <c r="R70" s="7" t="s">
        <v>9</v>
      </c>
      <c r="S70" s="15">
        <f t="shared" si="9"/>
        <v>1.1962111217078993E-2</v>
      </c>
      <c r="T70" s="15">
        <f t="shared" si="10"/>
        <v>1.5151515151515152E-2</v>
      </c>
      <c r="U70">
        <f t="shared" si="10"/>
        <v>66</v>
      </c>
      <c r="V70">
        <f t="shared" si="10"/>
        <v>1</v>
      </c>
      <c r="W70" s="15">
        <f t="shared" si="11"/>
        <v>0</v>
      </c>
      <c r="X70" s="15">
        <f t="shared" si="11"/>
        <v>4.5454545454545456E-2</v>
      </c>
      <c r="Y70" s="15">
        <f t="shared" si="11"/>
        <v>0</v>
      </c>
      <c r="Z70" s="15">
        <f t="shared" si="11"/>
        <v>6.0606060606060608E-2</v>
      </c>
      <c r="AA70" s="65" t="str">
        <f t="shared" si="12"/>
        <v>Pass</v>
      </c>
      <c r="AB70" s="65" t="str">
        <f t="shared" si="13"/>
        <v>Pass</v>
      </c>
    </row>
    <row r="71" spans="18:28" x14ac:dyDescent="0.25">
      <c r="R71" s="7" t="s">
        <v>10</v>
      </c>
      <c r="S71" s="15">
        <f t="shared" si="9"/>
        <v>2.8828748892726245E-2</v>
      </c>
      <c r="T71" s="15">
        <f t="shared" si="10"/>
        <v>7.4999999999999997E-2</v>
      </c>
      <c r="U71">
        <f t="shared" si="10"/>
        <v>40</v>
      </c>
      <c r="V71">
        <f t="shared" si="10"/>
        <v>3</v>
      </c>
      <c r="W71" s="15">
        <f t="shared" si="11"/>
        <v>0</v>
      </c>
      <c r="X71" s="15">
        <f t="shared" si="11"/>
        <v>0.1</v>
      </c>
      <c r="Y71" s="15">
        <f t="shared" si="11"/>
        <v>0</v>
      </c>
      <c r="Z71" s="15">
        <f t="shared" si="11"/>
        <v>0.125</v>
      </c>
      <c r="AA71" s="65" t="str">
        <f t="shared" si="12"/>
        <v>Pass</v>
      </c>
      <c r="AB71" s="65" t="str">
        <f t="shared" si="13"/>
        <v>Pass</v>
      </c>
    </row>
    <row r="72" spans="18:28" x14ac:dyDescent="0.25">
      <c r="R72" s="7" t="s">
        <v>11</v>
      </c>
      <c r="S72" s="15">
        <f t="shared" si="9"/>
        <v>6.9477431503333562E-2</v>
      </c>
      <c r="T72" s="15">
        <f t="shared" si="10"/>
        <v>0.12727272727272726</v>
      </c>
      <c r="U72">
        <f t="shared" si="10"/>
        <v>55</v>
      </c>
      <c r="V72">
        <f t="shared" si="10"/>
        <v>7</v>
      </c>
      <c r="W72" s="15">
        <f t="shared" si="11"/>
        <v>1.8181818181818181E-2</v>
      </c>
      <c r="X72" s="15">
        <f t="shared" si="11"/>
        <v>0.14545454545454545</v>
      </c>
      <c r="Y72" s="15">
        <f t="shared" si="11"/>
        <v>0</v>
      </c>
      <c r="Z72" s="15">
        <f t="shared" si="11"/>
        <v>0.16363636363636364</v>
      </c>
      <c r="AA72" s="65" t="str">
        <f t="shared" si="12"/>
        <v>Pass</v>
      </c>
      <c r="AB72" s="65" t="str">
        <f t="shared" si="13"/>
        <v>Pass</v>
      </c>
    </row>
  </sheetData>
  <mergeCells count="10">
    <mergeCell ref="S57:Y57"/>
    <mergeCell ref="S58:Y58"/>
    <mergeCell ref="S59:Y59"/>
    <mergeCell ref="S60:Y60"/>
    <mergeCell ref="S49:Y49"/>
    <mergeCell ref="S50:Y50"/>
    <mergeCell ref="S51:Y51"/>
    <mergeCell ref="S52:Y52"/>
    <mergeCell ref="S53:Y53"/>
    <mergeCell ref="S56:Y56"/>
  </mergeCells>
  <conditionalFormatting sqref="AC38">
    <cfRule type="cellIs" dxfId="19" priority="18" operator="equal">
      <formula>"Monitor"</formula>
    </cfRule>
    <cfRule type="cellIs" dxfId="18" priority="19" operator="equal">
      <formula>"fail"</formula>
    </cfRule>
    <cfRule type="cellIs" dxfId="17" priority="20" operator="equal">
      <formula>"pass"</formula>
    </cfRule>
  </conditionalFormatting>
  <conditionalFormatting sqref="AC39:AC40">
    <cfRule type="cellIs" dxfId="16" priority="15" operator="equal">
      <formula>"Monitor"</formula>
    </cfRule>
    <cfRule type="cellIs" dxfId="15" priority="16" operator="equal">
      <formula>"fail"</formula>
    </cfRule>
    <cfRule type="cellIs" dxfId="14" priority="17" operator="equal">
      <formula>"pass"</formula>
    </cfRule>
  </conditionalFormatting>
  <conditionalFormatting sqref="AA65:AA72">
    <cfRule type="cellIs" dxfId="13" priority="14" operator="equal">
      <formula>"Inconclusive"</formula>
    </cfRule>
  </conditionalFormatting>
  <conditionalFormatting sqref="AA65:AA72">
    <cfRule type="cellIs" dxfId="12" priority="11" operator="equal">
      <formula>"Fail"</formula>
    </cfRule>
    <cfRule type="cellIs" dxfId="11" priority="12" operator="equal">
      <formula>"Monitor"</formula>
    </cfRule>
    <cfRule type="cellIs" dxfId="10" priority="13" operator="equal">
      <formula>"Pass"</formula>
    </cfRule>
  </conditionalFormatting>
  <conditionalFormatting sqref="AB65:AB72">
    <cfRule type="cellIs" dxfId="9" priority="10" operator="equal">
      <formula>"Inconclusive"</formula>
    </cfRule>
  </conditionalFormatting>
  <conditionalFormatting sqref="AB65:AB72">
    <cfRule type="cellIs" dxfId="8" priority="7" operator="equal">
      <formula>"Fail"</formula>
    </cfRule>
    <cfRule type="cellIs" dxfId="7" priority="8" operator="equal">
      <formula>"Monitor"</formula>
    </cfRule>
    <cfRule type="cellIs" dxfId="6" priority="9" operator="equal">
      <formula>"Pass"</formula>
    </cfRule>
  </conditionalFormatting>
  <conditionalFormatting sqref="R51:R53">
    <cfRule type="cellIs" dxfId="5" priority="4" operator="equal">
      <formula>"Fail"</formula>
    </cfRule>
    <cfRule type="cellIs" dxfId="4" priority="5" operator="equal">
      <formula>"Monitor"</formula>
    </cfRule>
    <cfRule type="cellIs" dxfId="3" priority="6" operator="equal">
      <formula>"Pass"</formula>
    </cfRule>
  </conditionalFormatting>
  <conditionalFormatting sqref="R58:R60">
    <cfRule type="cellIs" dxfId="2" priority="1" operator="equal">
      <formula>"Fail"</formula>
    </cfRule>
    <cfRule type="cellIs" dxfId="1" priority="2" operator="equal">
      <formula>"Monitor"</formula>
    </cfRule>
    <cfRule type="cellIs" dxfId="0" priority="3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Scaling">
                <anchor moveWithCells="1">
                  <from>
                    <xdr:col>6</xdr:col>
                    <xdr:colOff>19050</xdr:colOff>
                    <xdr:row>32</xdr:row>
                    <xdr:rowOff>0</xdr:rowOff>
                  </from>
                  <to>
                    <xdr:col>8</xdr:col>
                    <xdr:colOff>247650</xdr:colOff>
                    <xdr:row>34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B701-9AD7-485E-8815-2954E8EB96DB}">
  <sheetPr codeName="Sheet5">
    <tabColor rgb="FFFFE600"/>
  </sheetPr>
  <dimension ref="A1:AF56"/>
  <sheetViews>
    <sheetView showGridLines="0" workbookViewId="0">
      <selection activeCell="Q25" sqref="Q25"/>
    </sheetView>
  </sheetViews>
  <sheetFormatPr defaultRowHeight="15" x14ac:dyDescent="0.25"/>
  <cols>
    <col min="1" max="1" width="5.140625" customWidth="1"/>
    <col min="2" max="12" width="11.140625" customWidth="1"/>
    <col min="13" max="13" width="11" customWidth="1"/>
    <col min="14" max="32" width="11.140625" customWidth="1"/>
  </cols>
  <sheetData>
    <row r="1" spans="1:13" s="2" customFormat="1" x14ac:dyDescent="0.25">
      <c r="B1" s="1" t="s">
        <v>135</v>
      </c>
    </row>
    <row r="2" spans="1:13" ht="15.75" thickBot="1" x14ac:dyDescent="0.3"/>
    <row r="3" spans="1:13" ht="15.75" thickBot="1" x14ac:dyDescent="0.3">
      <c r="B3" s="12" t="s">
        <v>14</v>
      </c>
      <c r="C3" s="46" t="str">
        <f>'1| Parameter'!$C$3</f>
        <v>Retail</v>
      </c>
    </row>
    <row r="5" spans="1:13" s="3" customFormat="1" x14ac:dyDescent="0.25">
      <c r="B5" s="4" t="s">
        <v>72</v>
      </c>
    </row>
    <row r="7" spans="1:13" x14ac:dyDescent="0.25">
      <c r="A7" s="20"/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  <c r="L7" s="11"/>
    </row>
    <row r="8" spans="1:13" x14ac:dyDescent="0.25"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 s="8" t="s">
        <v>12</v>
      </c>
      <c r="M8" s="9" t="s">
        <v>71</v>
      </c>
    </row>
    <row r="9" spans="1:13" x14ac:dyDescent="0.25">
      <c r="A9" s="10">
        <v>1</v>
      </c>
      <c r="B9" s="7" t="s">
        <v>3</v>
      </c>
      <c r="C9" s="15">
        <f>'3| Function'!C147</f>
        <v>0.56626652465635563</v>
      </c>
      <c r="D9" s="15">
        <f>'3| Function'!D147</f>
        <v>0.1049949921285236</v>
      </c>
      <c r="E9" s="15">
        <f>'3| Function'!E147</f>
        <v>8.5726830839732232E-2</v>
      </c>
      <c r="F9" s="15">
        <f>'3| Function'!F147</f>
        <v>6.9994667144011022E-2</v>
      </c>
      <c r="G9" s="15">
        <f>'3| Function'!G147</f>
        <v>5.7149592264295099E-2</v>
      </c>
      <c r="H9" s="15">
        <f>'3| Function'!H147</f>
        <v>4.6661781950550124E-2</v>
      </c>
      <c r="I9" s="15">
        <f>'3| Function'!I147</f>
        <v>3.8098642676773639E-2</v>
      </c>
      <c r="J9" s="15">
        <f>'3| Function'!J147</f>
        <v>3.1106968339758505E-2</v>
      </c>
      <c r="L9" s="7" t="s">
        <v>3</v>
      </c>
      <c r="M9" s="13">
        <f>VLOOKUP($L9,'4| Default'!$B$33:$D$41,3,FALSE)</f>
        <v>1.4713569293756503E-4</v>
      </c>
    </row>
    <row r="10" spans="1:13" x14ac:dyDescent="0.25">
      <c r="A10" s="10">
        <v>2</v>
      </c>
      <c r="B10" s="7" t="s">
        <v>5</v>
      </c>
      <c r="C10" s="15">
        <f>'3| Function'!C148</f>
        <v>4.1142845821638442E-3</v>
      </c>
      <c r="D10" s="15">
        <f>'3| Function'!D148</f>
        <v>0.64183778415887072</v>
      </c>
      <c r="E10" s="15">
        <f>'3| Function'!E148</f>
        <v>9.2326906224523317E-2</v>
      </c>
      <c r="F10" s="15">
        <f>'3| Function'!F148</f>
        <v>7.5383529360876264E-2</v>
      </c>
      <c r="G10" s="15">
        <f>'3| Function'!G148</f>
        <v>6.1549517158982804E-2</v>
      </c>
      <c r="H10" s="15">
        <f>'3| Function'!H148</f>
        <v>5.0254254405738309E-2</v>
      </c>
      <c r="I10" s="15">
        <f>'3| Function'!I148</f>
        <v>4.1031842367720124E-2</v>
      </c>
      <c r="J10" s="15">
        <f>'3| Function'!J148</f>
        <v>3.3501881741124562E-2</v>
      </c>
      <c r="L10" s="7" t="s">
        <v>5</v>
      </c>
      <c r="M10" s="13">
        <f>VLOOKUP($L10,'4| Default'!$B$33:$D$41,3,FALSE)</f>
        <v>3.5459776856096802E-4</v>
      </c>
    </row>
    <row r="11" spans="1:13" x14ac:dyDescent="0.25">
      <c r="A11" s="10">
        <v>3</v>
      </c>
      <c r="B11" s="7" t="s">
        <v>6</v>
      </c>
      <c r="C11" s="15">
        <f>'3| Function'!C149</f>
        <v>1.4284560246917974E-2</v>
      </c>
      <c r="D11" s="15">
        <f>'3| Function'!D149</f>
        <v>1.7804274235807407E-2</v>
      </c>
      <c r="E11" s="15">
        <f>'3| Function'!E149</f>
        <v>0.69069169211369452</v>
      </c>
      <c r="F11" s="15">
        <f>'3| Function'!F149</f>
        <v>7.9847548778227972E-2</v>
      </c>
      <c r="G11" s="15">
        <f>'3| Function'!G149</f>
        <v>6.5194321827267795E-2</v>
      </c>
      <c r="H11" s="15">
        <f>'3| Function'!H149</f>
        <v>5.3230182561049347E-2</v>
      </c>
      <c r="I11" s="15">
        <f>'3| Function'!I149</f>
        <v>4.3461642917152619E-2</v>
      </c>
      <c r="J11" s="15">
        <f>'3| Function'!J149</f>
        <v>3.5485777319882346E-2</v>
      </c>
      <c r="L11" s="7" t="s">
        <v>6</v>
      </c>
      <c r="M11" s="13">
        <f>VLOOKUP($L11,'4| Default'!$B$33:$D$41,3,FALSE)</f>
        <v>8.545824263170021E-4</v>
      </c>
    </row>
    <row r="12" spans="1:13" x14ac:dyDescent="0.25">
      <c r="A12" s="10">
        <v>4</v>
      </c>
      <c r="B12" s="7" t="s">
        <v>7</v>
      </c>
      <c r="C12" s="15">
        <f>'3| Function'!C150</f>
        <v>1.8876852010315765E-2</v>
      </c>
      <c r="D12" s="15">
        <f>'3| Function'!D150</f>
        <v>2.3528106157340651E-2</v>
      </c>
      <c r="E12" s="15">
        <f>'3| Function'!E150</f>
        <v>2.9325428786991431E-2</v>
      </c>
      <c r="F12" s="15">
        <f>'3| Function'!F150</f>
        <v>0.72374506386805915</v>
      </c>
      <c r="G12" s="15">
        <f>'3| Function'!G150</f>
        <v>6.7556919789637557E-2</v>
      </c>
      <c r="H12" s="15">
        <f>'3| Function'!H150</f>
        <v>5.5159208238906833E-2</v>
      </c>
      <c r="I12" s="15">
        <f>'3| Function'!I150</f>
        <v>4.5036663350210615E-2</v>
      </c>
      <c r="J12" s="15">
        <f>'3| Function'!J150</f>
        <v>3.6771757798538009E-2</v>
      </c>
      <c r="L12" s="7" t="s">
        <v>7</v>
      </c>
      <c r="M12" s="13">
        <f>VLOOKUP($L12,'4| Default'!$B$33:$D$41,3,FALSE)</f>
        <v>2.0595479952781729E-3</v>
      </c>
    </row>
    <row r="13" spans="1:13" x14ac:dyDescent="0.25">
      <c r="A13" s="10">
        <v>5</v>
      </c>
      <c r="B13" s="7" t="s">
        <v>8</v>
      </c>
      <c r="C13" s="15">
        <f>'3| Function'!C151</f>
        <v>1.9975100926979118E-2</v>
      </c>
      <c r="D13" s="15">
        <f>'3| Function'!D151</f>
        <v>2.4896963479754307E-2</v>
      </c>
      <c r="E13" s="15">
        <f>'3| Function'!E151</f>
        <v>3.1031572394961737E-2</v>
      </c>
      <c r="F13" s="15">
        <f>'3| Function'!F151</f>
        <v>3.8677748235715931E-2</v>
      </c>
      <c r="G13" s="15">
        <f>'3| Function'!G151</f>
        <v>0.74771644758157685</v>
      </c>
      <c r="H13" s="15">
        <f>'3| Function'!H151</f>
        <v>5.5455019258752077E-2</v>
      </c>
      <c r="I13" s="15">
        <f>'3| Function'!I151</f>
        <v>4.527818859579337E-2</v>
      </c>
      <c r="J13" s="15">
        <f>'3| Function'!J151</f>
        <v>3.6968959526466637E-2</v>
      </c>
      <c r="L13" s="7" t="s">
        <v>8</v>
      </c>
      <c r="M13" s="13">
        <f>VLOOKUP($L13,'4| Default'!$B$33:$D$41,3,FALSE)</f>
        <v>4.9635211469711291E-3</v>
      </c>
    </row>
    <row r="14" spans="1:13" x14ac:dyDescent="0.25">
      <c r="A14" s="10">
        <v>6</v>
      </c>
      <c r="B14" s="7" t="s">
        <v>9</v>
      </c>
      <c r="C14" s="15">
        <f>'3| Function'!C152</f>
        <v>1.9002735483628394E-2</v>
      </c>
      <c r="D14" s="15">
        <f>'3| Function'!D152</f>
        <v>2.3685007303884342E-2</v>
      </c>
      <c r="E14" s="15">
        <f>'3| Function'!E152</f>
        <v>2.9520990357854573E-2</v>
      </c>
      <c r="F14" s="15">
        <f>'3| Function'!F152</f>
        <v>3.6794958959781222E-2</v>
      </c>
      <c r="G14" s="15">
        <f>'3| Function'!G152</f>
        <v>4.5861232581980896E-2</v>
      </c>
      <c r="H14" s="15">
        <f>'3| Function'!H152</f>
        <v>0.76604196522937162</v>
      </c>
      <c r="I14" s="15">
        <f>'3| Function'!I152</f>
        <v>4.3541847185571539E-2</v>
      </c>
      <c r="J14" s="15">
        <f>'3| Function'!J152</f>
        <v>3.5551262897927413E-2</v>
      </c>
      <c r="L14" s="7" t="s">
        <v>9</v>
      </c>
      <c r="M14" s="13">
        <f>VLOOKUP($L14,'4| Default'!$B$33:$D$41,3,FALSE)</f>
        <v>1.1962111217078993E-2</v>
      </c>
    </row>
    <row r="15" spans="1:13" x14ac:dyDescent="0.25">
      <c r="A15" s="10">
        <v>7</v>
      </c>
      <c r="B15" s="7" t="s">
        <v>10</v>
      </c>
      <c r="C15" s="15">
        <f>'3| Function'!C153</f>
        <v>1.6913167510175457E-2</v>
      </c>
      <c r="D15" s="15">
        <f>'3| Function'!D153</f>
        <v>2.1080570024007761E-2</v>
      </c>
      <c r="E15" s="15">
        <f>'3| Function'!E153</f>
        <v>2.6274820034138249E-2</v>
      </c>
      <c r="F15" s="15">
        <f>'3| Function'!F153</f>
        <v>3.2748932644616556E-2</v>
      </c>
      <c r="G15" s="15">
        <f>'3| Function'!G153</f>
        <v>4.0818265851799089E-2</v>
      </c>
      <c r="H15" s="15">
        <f>'3| Function'!H153</f>
        <v>5.0875881825786312E-2</v>
      </c>
      <c r="I15" s="15">
        <f>'3| Function'!I153</f>
        <v>0.77947095853938064</v>
      </c>
      <c r="J15" s="15">
        <f>'3| Function'!J153</f>
        <v>3.181740357009593E-2</v>
      </c>
      <c r="L15" s="7" t="s">
        <v>10</v>
      </c>
      <c r="M15" s="13">
        <f>VLOOKUP($L15,'4| Default'!$B$33:$D$41,3,FALSE)</f>
        <v>2.8828748892726245E-2</v>
      </c>
    </row>
    <row r="16" spans="1:13" x14ac:dyDescent="0.25">
      <c r="A16" s="10">
        <v>8</v>
      </c>
      <c r="B16" s="7" t="s">
        <v>11</v>
      </c>
      <c r="C16" s="15">
        <f>'3| Function'!C154</f>
        <v>1.4328651339056822E-2</v>
      </c>
      <c r="D16" s="15">
        <f>'3| Function'!D154</f>
        <v>1.7859229367937966E-2</v>
      </c>
      <c r="E16" s="15">
        <f>'3| Function'!E154</f>
        <v>2.2259741413849836E-2</v>
      </c>
      <c r="F16" s="15">
        <f>'3| Function'!F154</f>
        <v>2.7744539117740854E-2</v>
      </c>
      <c r="G16" s="15">
        <f>'3| Function'!G154</f>
        <v>3.4580790340040267E-2</v>
      </c>
      <c r="H16" s="15">
        <f>'3| Function'!H154</f>
        <v>4.3101493071015372E-2</v>
      </c>
      <c r="I16" s="15">
        <f>'3| Function'!I154</f>
        <v>5.3721695967132208E-2</v>
      </c>
      <c r="J16" s="15">
        <f>'3| Function'!J154</f>
        <v>0.78640385938322666</v>
      </c>
      <c r="L16" s="7" t="s">
        <v>11</v>
      </c>
      <c r="M16" s="13">
        <f>VLOOKUP($L16,'4| Default'!$B$33:$D$41,3,FALSE)</f>
        <v>6.9477431503333562E-2</v>
      </c>
    </row>
    <row r="18" spans="1:12" s="3" customFormat="1" x14ac:dyDescent="0.25">
      <c r="B18" s="4" t="s">
        <v>73</v>
      </c>
    </row>
    <row r="20" spans="1:12" x14ac:dyDescent="0.25">
      <c r="A20" s="20"/>
      <c r="B20" s="19"/>
      <c r="C20" s="11">
        <v>1</v>
      </c>
      <c r="D20" s="11">
        <v>2</v>
      </c>
      <c r="E20" s="11">
        <v>3</v>
      </c>
      <c r="F20" s="11">
        <v>4</v>
      </c>
      <c r="G20" s="11">
        <v>5</v>
      </c>
      <c r="H20" s="11">
        <v>6</v>
      </c>
      <c r="I20" s="11">
        <v>7</v>
      </c>
      <c r="J20" s="11">
        <v>8</v>
      </c>
      <c r="K20" s="11">
        <v>9</v>
      </c>
    </row>
    <row r="21" spans="1:12" x14ac:dyDescent="0.25">
      <c r="B21" s="8" t="s">
        <v>12</v>
      </c>
      <c r="C21" s="9" t="s">
        <v>3</v>
      </c>
      <c r="D21" s="9" t="s">
        <v>5</v>
      </c>
      <c r="E21" s="9" t="s">
        <v>6</v>
      </c>
      <c r="F21" s="9" t="s">
        <v>7</v>
      </c>
      <c r="G21" s="9" t="s">
        <v>8</v>
      </c>
      <c r="H21" s="9" t="s">
        <v>9</v>
      </c>
      <c r="I21" s="9" t="s">
        <v>10</v>
      </c>
      <c r="J21" s="9" t="s">
        <v>11</v>
      </c>
      <c r="K21" s="9" t="s">
        <v>71</v>
      </c>
      <c r="L21" s="11" t="s">
        <v>78</v>
      </c>
    </row>
    <row r="22" spans="1:12" x14ac:dyDescent="0.25">
      <c r="A22" s="10">
        <v>1</v>
      </c>
      <c r="B22" s="7" t="s">
        <v>3</v>
      </c>
      <c r="C22" s="13">
        <f>IFERROR(IF(C$21="DF",VLOOKUP($B22,$L$8:$M$16,2,FALSE),IF(AND(C$21&lt;&gt;"DF",$B22&lt;&gt;"DF"),C9*(1-$M9),IF(AND(C$21&lt;&gt;"DF",$B22="DF"),0))),1)</f>
        <v>0.56618320663886301</v>
      </c>
      <c r="D22" s="13">
        <f t="shared" ref="D22:K22" si="0">IFERROR(IF(D$21="DF",VLOOKUP($B22,$L$8:$M$16,2,FALSE),IF(AND(D$21&lt;&gt;"DF",$B22&lt;&gt;"DF"),D9*(1-$M9),IF(AND(D$21&lt;&gt;"DF",$B22="DF"),0))),1)</f>
        <v>0.1049795436176018</v>
      </c>
      <c r="E22" s="13">
        <f t="shared" si="0"/>
        <v>8.5714217363073289E-2</v>
      </c>
      <c r="F22" s="13">
        <f t="shared" si="0"/>
        <v>6.9984368430158858E-2</v>
      </c>
      <c r="G22" s="13">
        <f t="shared" si="0"/>
        <v>5.7141183519436194E-2</v>
      </c>
      <c r="H22" s="13">
        <f t="shared" si="0"/>
        <v>4.6654916336929128E-2</v>
      </c>
      <c r="I22" s="13">
        <f t="shared" si="0"/>
        <v>3.8093037006583411E-2</v>
      </c>
      <c r="J22" s="13">
        <f t="shared" si="0"/>
        <v>3.1102391394416649E-2</v>
      </c>
      <c r="K22" s="13">
        <f t="shared" si="0"/>
        <v>1.4713569293756503E-4</v>
      </c>
      <c r="L22" s="53">
        <f>SUM(C22:K22)</f>
        <v>0.99999999999999978</v>
      </c>
    </row>
    <row r="23" spans="1:12" x14ac:dyDescent="0.25">
      <c r="A23" s="10">
        <v>2</v>
      </c>
      <c r="B23" s="7" t="s">
        <v>5</v>
      </c>
      <c r="C23" s="13">
        <f t="shared" ref="C23:K23" si="1">IFERROR(IF(C$21="DF",VLOOKUP($B23,$L$8:$M$16,2,FALSE),IF(AND(C$21&lt;&gt;"DF",$B23&lt;&gt;"DF"),C10*(1-$M10),IF(AND(C$21&lt;&gt;"DF",$B23="DF"),0))),1)</f>
        <v>4.1128256660317841E-3</v>
      </c>
      <c r="D23" s="13">
        <f t="shared" si="1"/>
        <v>0.64161018991282992</v>
      </c>
      <c r="E23" s="13">
        <f t="shared" si="1"/>
        <v>9.2294167309597969E-2</v>
      </c>
      <c r="F23" s="13">
        <f t="shared" si="1"/>
        <v>7.5356798529578647E-2</v>
      </c>
      <c r="G23" s="13">
        <f t="shared" si="1"/>
        <v>6.1527691837542225E-2</v>
      </c>
      <c r="H23" s="13">
        <f t="shared" si="1"/>
        <v>5.0236434359265343E-2</v>
      </c>
      <c r="I23" s="13">
        <f t="shared" si="1"/>
        <v>4.1017292567976586E-2</v>
      </c>
      <c r="J23" s="13">
        <f t="shared" si="1"/>
        <v>3.3490002048616567E-2</v>
      </c>
      <c r="K23" s="13">
        <f t="shared" si="1"/>
        <v>3.5459776856096802E-4</v>
      </c>
      <c r="L23" s="53">
        <f t="shared" ref="L23:L30" si="2">SUM(C23:K23)</f>
        <v>1</v>
      </c>
    </row>
    <row r="24" spans="1:12" x14ac:dyDescent="0.25">
      <c r="A24" s="10">
        <v>3</v>
      </c>
      <c r="B24" s="7" t="s">
        <v>6</v>
      </c>
      <c r="C24" s="13">
        <f t="shared" ref="C24:K24" si="3">IFERROR(IF(C$21="DF",VLOOKUP($B24,$L$8:$M$16,2,FALSE),IF(AND(C$21&lt;&gt;"DF",$B24&lt;&gt;"DF"),C11*(1-$M11),IF(AND(C$21&lt;&gt;"DF",$B24="DF"),0))),1)</f>
        <v>1.4272352912763292E-2</v>
      </c>
      <c r="D24" s="13">
        <f t="shared" si="3"/>
        <v>1.7789059015932158E-2</v>
      </c>
      <c r="E24" s="13">
        <f t="shared" si="3"/>
        <v>0.69010143913161104</v>
      </c>
      <c r="F24" s="13">
        <f t="shared" si="3"/>
        <v>7.9779312466257607E-2</v>
      </c>
      <c r="G24" s="13">
        <f t="shared" si="3"/>
        <v>6.5138607905538562E-2</v>
      </c>
      <c r="H24" s="13">
        <f t="shared" si="3"/>
        <v>5.3184692982483031E-2</v>
      </c>
      <c r="I24" s="13">
        <f t="shared" si="3"/>
        <v>4.3424501360896754E-2</v>
      </c>
      <c r="J24" s="13">
        <f t="shared" si="3"/>
        <v>3.5455451798200574E-2</v>
      </c>
      <c r="K24" s="13">
        <f t="shared" si="3"/>
        <v>8.545824263170021E-4</v>
      </c>
      <c r="L24" s="53">
        <f t="shared" si="2"/>
        <v>1</v>
      </c>
    </row>
    <row r="25" spans="1:12" x14ac:dyDescent="0.25">
      <c r="A25" s="10">
        <v>4</v>
      </c>
      <c r="B25" s="7" t="s">
        <v>7</v>
      </c>
      <c r="C25" s="13">
        <f t="shared" ref="C25:K25" si="4">IFERROR(IF(C$21="DF",VLOOKUP($B25,$L$8:$M$16,2,FALSE),IF(AND(C$21&lt;&gt;"DF",$B25&lt;&gt;"DF"),C12*(1-$M12),IF(AND(C$21&lt;&gt;"DF",$B25="DF"),0))),1)</f>
        <v>1.8837974227600755E-2</v>
      </c>
      <c r="D25" s="13">
        <f t="shared" si="4"/>
        <v>2.3479648893471608E-2</v>
      </c>
      <c r="E25" s="13">
        <f t="shared" si="4"/>
        <v>2.9265031658922511E-2</v>
      </c>
      <c r="F25" s="13">
        <f t="shared" si="4"/>
        <v>0.72225447617267724</v>
      </c>
      <c r="G25" s="13">
        <f t="shared" si="4"/>
        <v>6.7417783070917642E-2</v>
      </c>
      <c r="H25" s="13">
        <f t="shared" si="4"/>
        <v>5.5045605202157261E-2</v>
      </c>
      <c r="I25" s="13">
        <f t="shared" si="4"/>
        <v>4.4943908180493673E-2</v>
      </c>
      <c r="J25" s="13">
        <f t="shared" si="4"/>
        <v>3.6696024598481175E-2</v>
      </c>
      <c r="K25" s="13">
        <f t="shared" si="4"/>
        <v>2.0595479952781729E-3</v>
      </c>
      <c r="L25" s="53">
        <f t="shared" si="2"/>
        <v>1</v>
      </c>
    </row>
    <row r="26" spans="1:12" x14ac:dyDescent="0.25">
      <c r="A26" s="10">
        <v>5</v>
      </c>
      <c r="B26" s="7" t="s">
        <v>8</v>
      </c>
      <c r="C26" s="13">
        <f t="shared" ref="C26:K26" si="5">IFERROR(IF(C$21="DF",VLOOKUP($B26,$L$8:$M$16,2,FALSE),IF(AND(C$21&lt;&gt;"DF",$B26&lt;&gt;"DF"),C13*(1-$M13),IF(AND(C$21&lt;&gt;"DF",$B26="DF"),0))),1)</f>
        <v>1.9875954091115172E-2</v>
      </c>
      <c r="D26" s="13">
        <f t="shared" si="5"/>
        <v>2.4773386875027177E-2</v>
      </c>
      <c r="E26" s="13">
        <f t="shared" si="5"/>
        <v>3.0877546529155576E-2</v>
      </c>
      <c r="F26" s="13">
        <f t="shared" si="5"/>
        <v>3.8485770414430728E-2</v>
      </c>
      <c r="G26" s="13">
        <f t="shared" si="5"/>
        <v>0.74400514118206751</v>
      </c>
      <c r="H26" s="13">
        <f t="shared" si="5"/>
        <v>5.5179767097955565E-2</v>
      </c>
      <c r="I26" s="13">
        <f t="shared" si="5"/>
        <v>4.5053449349201601E-2</v>
      </c>
      <c r="J26" s="13">
        <f t="shared" si="5"/>
        <v>3.6785463314075499E-2</v>
      </c>
      <c r="K26" s="13">
        <f t="shared" si="5"/>
        <v>4.9635211469711291E-3</v>
      </c>
      <c r="L26" s="53">
        <f t="shared" si="2"/>
        <v>1</v>
      </c>
    </row>
    <row r="27" spans="1:12" x14ac:dyDescent="0.25">
      <c r="A27" s="10">
        <v>6</v>
      </c>
      <c r="B27" s="7" t="s">
        <v>9</v>
      </c>
      <c r="C27" s="13">
        <f t="shared" ref="C27:K27" si="6">IFERROR(IF(C$21="DF",VLOOKUP($B27,$L$8:$M$16,2,FALSE),IF(AND(C$21&lt;&gt;"DF",$B27&lt;&gt;"DF"),C14*(1-$M14),IF(AND(C$21&lt;&gt;"DF",$B27="DF"),0))),1)</f>
        <v>1.8775422648344496E-2</v>
      </c>
      <c r="D27" s="13">
        <f t="shared" si="6"/>
        <v>2.340168461233795E-2</v>
      </c>
      <c r="E27" s="13">
        <f t="shared" si="6"/>
        <v>2.9167856987955598E-2</v>
      </c>
      <c r="F27" s="13">
        <f t="shared" si="6"/>
        <v>3.635481356847646E-2</v>
      </c>
      <c r="G27" s="13">
        <f t="shared" si="6"/>
        <v>4.5312635417282913E-2</v>
      </c>
      <c r="H27" s="13">
        <f t="shared" si="6"/>
        <v>0.75687848604434815</v>
      </c>
      <c r="I27" s="13">
        <f t="shared" si="6"/>
        <v>4.3020994766940671E-2</v>
      </c>
      <c r="J27" s="13">
        <f t="shared" si="6"/>
        <v>3.5125994737234788E-2</v>
      </c>
      <c r="K27" s="13">
        <f t="shared" si="6"/>
        <v>1.1962111217078993E-2</v>
      </c>
      <c r="L27" s="53">
        <f t="shared" si="2"/>
        <v>1</v>
      </c>
    </row>
    <row r="28" spans="1:12" x14ac:dyDescent="0.25">
      <c r="A28" s="10">
        <v>7</v>
      </c>
      <c r="B28" s="7" t="s">
        <v>10</v>
      </c>
      <c r="C28" s="13">
        <f t="shared" ref="C28:K28" si="7">IFERROR(IF(C$21="DF",VLOOKUP($B28,$L$8:$M$16,2,FALSE),IF(AND(C$21&lt;&gt;"DF",$B28&lt;&gt;"DF"),C15*(1-$M15),IF(AND(C$21&lt;&gt;"DF",$B28="DF"),0))),1)</f>
        <v>1.6425582051043993E-2</v>
      </c>
      <c r="D28" s="13">
        <f t="shared" si="7"/>
        <v>2.0472843564270111E-2</v>
      </c>
      <c r="E28" s="13">
        <f t="shared" si="7"/>
        <v>2.5517349845172503E-2</v>
      </c>
      <c r="F28" s="13">
        <f t="shared" si="7"/>
        <v>3.1804821888900103E-2</v>
      </c>
      <c r="G28" s="13">
        <f t="shared" si="7"/>
        <v>3.964152631532103E-2</v>
      </c>
      <c r="H28" s="13">
        <f t="shared" si="7"/>
        <v>4.9409193803934701E-2</v>
      </c>
      <c r="I28" s="13">
        <f t="shared" si="7"/>
        <v>0.75699978600647622</v>
      </c>
      <c r="J28" s="13">
        <f t="shared" si="7"/>
        <v>3.0900147632155102E-2</v>
      </c>
      <c r="K28" s="13">
        <f t="shared" si="7"/>
        <v>2.8828748892726245E-2</v>
      </c>
      <c r="L28" s="53">
        <f t="shared" si="2"/>
        <v>1</v>
      </c>
    </row>
    <row r="29" spans="1:12" x14ac:dyDescent="0.25">
      <c r="A29" s="10">
        <v>8</v>
      </c>
      <c r="B29" s="7" t="s">
        <v>11</v>
      </c>
      <c r="C29" s="13">
        <f t="shared" ref="C29:K29" si="8">IFERROR(IF(C$21="DF",VLOOKUP($B29,$L$8:$M$16,2,FALSE),IF(AND(C$21&lt;&gt;"DF",$B29&lt;&gt;"DF"),C16*(1-$M16),IF(AND(C$21&lt;&gt;"DF",$B29="DF"),0))),1)</f>
        <v>1.3333133447112353E-2</v>
      </c>
      <c r="D29" s="13">
        <f t="shared" si="8"/>
        <v>1.6618415982824732E-2</v>
      </c>
      <c r="E29" s="13">
        <f t="shared" si="8"/>
        <v>2.0713191754487166E-2</v>
      </c>
      <c r="F29" s="13">
        <f t="shared" si="8"/>
        <v>2.5816919801596457E-2</v>
      </c>
      <c r="G29" s="13">
        <f t="shared" si="8"/>
        <v>3.2178205847858979E-2</v>
      </c>
      <c r="H29" s="13">
        <f t="shared" si="8"/>
        <v>4.0106912038482496E-2</v>
      </c>
      <c r="I29" s="13">
        <f t="shared" si="8"/>
        <v>4.9989250515332873E-2</v>
      </c>
      <c r="J29" s="13">
        <f t="shared" si="8"/>
        <v>0.73176653910897138</v>
      </c>
      <c r="K29" s="13">
        <f t="shared" si="8"/>
        <v>6.9477431503333562E-2</v>
      </c>
      <c r="L29" s="53">
        <f t="shared" si="2"/>
        <v>1</v>
      </c>
    </row>
    <row r="30" spans="1:12" x14ac:dyDescent="0.25">
      <c r="A30" s="10">
        <v>9</v>
      </c>
      <c r="B30" s="7" t="s">
        <v>71</v>
      </c>
      <c r="C30" s="13">
        <f t="shared" ref="C30:K30" si="9">IFERROR(IF(C$21="DF",VLOOKUP($B30,$L$8:$M$16,2,FALSE),IF(AND(C$21&lt;&gt;"DF",$B30&lt;&gt;"DF"),C17*(1-$M17),IF(AND(C$21&lt;&gt;"DF",$B30="DF"),0))),1)</f>
        <v>0</v>
      </c>
      <c r="D30" s="13">
        <f t="shared" si="9"/>
        <v>0</v>
      </c>
      <c r="E30" s="13">
        <f t="shared" si="9"/>
        <v>0</v>
      </c>
      <c r="F30" s="13">
        <f t="shared" si="9"/>
        <v>0</v>
      </c>
      <c r="G30" s="13">
        <f t="shared" si="9"/>
        <v>0</v>
      </c>
      <c r="H30" s="13">
        <f t="shared" si="9"/>
        <v>0</v>
      </c>
      <c r="I30" s="13">
        <f t="shared" si="9"/>
        <v>0</v>
      </c>
      <c r="J30" s="13">
        <f t="shared" si="9"/>
        <v>0</v>
      </c>
      <c r="K30" s="13">
        <f t="shared" si="9"/>
        <v>1</v>
      </c>
      <c r="L30" s="53">
        <f t="shared" si="2"/>
        <v>1</v>
      </c>
    </row>
    <row r="32" spans="1:12" s="3" customFormat="1" x14ac:dyDescent="0.25">
      <c r="B32" s="4" t="s">
        <v>66</v>
      </c>
    </row>
    <row r="34" spans="1:32" x14ac:dyDescent="0.25">
      <c r="B34" s="8" t="s">
        <v>12</v>
      </c>
      <c r="C34" s="9">
        <v>1</v>
      </c>
      <c r="D34" s="9">
        <v>2</v>
      </c>
      <c r="E34" s="9">
        <v>3</v>
      </c>
      <c r="F34" s="9">
        <v>4</v>
      </c>
      <c r="G34" s="9">
        <v>5</v>
      </c>
      <c r="H34" s="9">
        <v>6</v>
      </c>
      <c r="I34" s="9">
        <v>7</v>
      </c>
      <c r="J34" s="9">
        <v>8</v>
      </c>
      <c r="K34" s="9">
        <v>9</v>
      </c>
      <c r="L34" s="9">
        <v>10</v>
      </c>
      <c r="M34" s="9">
        <v>11</v>
      </c>
      <c r="N34" s="9">
        <v>12</v>
      </c>
      <c r="O34" s="9">
        <v>13</v>
      </c>
      <c r="P34" s="9">
        <v>14</v>
      </c>
      <c r="Q34" s="9">
        <v>15</v>
      </c>
      <c r="R34" s="9">
        <v>16</v>
      </c>
      <c r="S34" s="9">
        <v>17</v>
      </c>
      <c r="T34" s="9">
        <v>18</v>
      </c>
      <c r="U34" s="9">
        <v>19</v>
      </c>
      <c r="V34" s="9">
        <v>20</v>
      </c>
      <c r="W34" s="9">
        <v>21</v>
      </c>
      <c r="X34" s="9">
        <v>22</v>
      </c>
      <c r="Y34" s="9">
        <v>23</v>
      </c>
      <c r="Z34" s="9">
        <v>24</v>
      </c>
      <c r="AA34" s="9">
        <v>25</v>
      </c>
      <c r="AB34" s="9">
        <v>26</v>
      </c>
      <c r="AC34" s="9">
        <v>27</v>
      </c>
      <c r="AD34" s="9">
        <v>28</v>
      </c>
      <c r="AE34" s="9">
        <v>29</v>
      </c>
      <c r="AF34" s="9">
        <v>30</v>
      </c>
    </row>
    <row r="35" spans="1:32" x14ac:dyDescent="0.25">
      <c r="A35" s="10">
        <v>1</v>
      </c>
      <c r="B35" s="7" t="s">
        <v>3</v>
      </c>
      <c r="C35" s="15">
        <f>K22</f>
        <v>1.4713569293756503E-4</v>
      </c>
      <c r="D35" s="13" cm="1">
        <f t="array" ref="D35:D43">MMULT($C$22:$K$30,C35:C43)</f>
        <v>4.5858546297595938E-3</v>
      </c>
      <c r="E35" s="13" cm="1">
        <f t="array" ref="E35:E43">MMULT($C$22:$K$30,D35:D43)</f>
        <v>1.2203072779617387E-2</v>
      </c>
      <c r="F35" s="13" cm="1">
        <f t="array" ref="F35:F43">MMULT($C$22:$K$30,E35:E43)</f>
        <v>2.212122430656004E-2</v>
      </c>
      <c r="G35" s="13" cm="1">
        <f t="array" ref="G35:G43">MMULT($C$22:$K$30,F35:F43)</f>
        <v>3.3666811074271795E-2</v>
      </c>
      <c r="H35" s="13" cm="1">
        <f t="array" ref="H35:H43">MMULT($C$22:$K$30,G35:G43)</f>
        <v>4.633277578872496E-2</v>
      </c>
      <c r="I35" s="13" cm="1">
        <f t="array" ref="I35:I43">MMULT($C$22:$K$30,H35:H43)</f>
        <v>5.9742827745483902E-2</v>
      </c>
      <c r="J35" s="13" cm="1">
        <f t="array" ref="J35:J43">MMULT($C$22:$K$30,I35:I43)</f>
        <v>7.3620867579244478E-2</v>
      </c>
      <c r="K35" s="13" cm="1">
        <f t="array" ref="K35:K43">MMULT($C$22:$K$30,J35:J43)</f>
        <v>8.7766207761215909E-2</v>
      </c>
      <c r="L35" s="13" cm="1">
        <f t="array" ref="L35:L43">MMULT($C$22:$K$30,K35:K43)</f>
        <v>0.10203418289984802</v>
      </c>
      <c r="M35" s="13" cm="1">
        <f t="array" ref="M35:M43">MMULT($C$22:$K$30,L35:L43)</f>
        <v>0.11632133372466294</v>
      </c>
      <c r="N35" s="13" cm="1">
        <f t="array" ref="N35:N43">MMULT($C$22:$K$30,M35:M43)</f>
        <v>0.13055427580616147</v>
      </c>
      <c r="O35" s="13" cm="1">
        <f t="array" ref="O35:O43">MMULT($C$22:$K$30,N35:N43)</f>
        <v>0.14468144039492378</v>
      </c>
      <c r="P35" s="13" cm="1">
        <f t="array" ref="P35:P43">MMULT($C$22:$K$30,O35:O43)</f>
        <v>0.15866700404993131</v>
      </c>
      <c r="Q35" s="13" cm="1">
        <f t="array" ref="Q35:Q43">MMULT($C$22:$K$30,P35:P43)</f>
        <v>0.17248645957041084</v>
      </c>
      <c r="R35" s="13" cm="1">
        <f t="array" ref="R35:R43">MMULT($C$22:$K$30,Q35:Q43)</f>
        <v>0.18612340303575806</v>
      </c>
      <c r="S35" s="13" cm="1">
        <f t="array" ref="S35:S43">MMULT($C$22:$K$30,R35:R43)</f>
        <v>0.19956721373886541</v>
      </c>
      <c r="T35" s="13" cm="1">
        <f t="array" ref="T35:T43">MMULT($C$22:$K$30,S35:S43)</f>
        <v>0.21281138508706385</v>
      </c>
      <c r="U35" s="13" cm="1">
        <f t="array" ref="U35:U43">MMULT($C$22:$K$30,T35:T43)</f>
        <v>0.22585232746128506</v>
      </c>
      <c r="V35" s="13" cm="1">
        <f t="array" ref="V35:V43">MMULT($C$22:$K$30,U35:U43)</f>
        <v>0.23868851173607541</v>
      </c>
      <c r="W35" s="13" cm="1">
        <f t="array" ref="W35:W43">MMULT($C$22:$K$30,V35:V43)</f>
        <v>0.25131985781351796</v>
      </c>
      <c r="X35" s="13" cm="1">
        <f t="array" ref="X35:X43">MMULT($C$22:$K$30,W35:W43)</f>
        <v>0.26374729886895676</v>
      </c>
      <c r="Y35" s="13" cm="1">
        <f t="array" ref="Y35:Y43">MMULT($C$22:$K$30,X35:X43)</f>
        <v>0.27597247131038932</v>
      </c>
      <c r="Z35" s="13" cm="1">
        <f t="array" ref="Z35:Z43">MMULT($C$22:$K$30,Y35:Y43)</f>
        <v>0.28799749450510281</v>
      </c>
      <c r="AA35" s="13" cm="1">
        <f t="array" ref="AA35:AA43">MMULT($C$22:$K$30,Z35:Z43)</f>
        <v>0.299824814502334</v>
      </c>
      <c r="AB35" s="13" cm="1">
        <f t="array" ref="AB35:AB43">MMULT($C$22:$K$30,AA35:AA43)</f>
        <v>0.31145709331813681</v>
      </c>
      <c r="AC35" s="13" cm="1">
        <f t="array" ref="AC35:AC43">MMULT($C$22:$K$30,AB35:AB43)</f>
        <v>0.32289713062188308</v>
      </c>
      <c r="AD35" s="13" cm="1">
        <f t="array" ref="AD35:AD43">MMULT($C$22:$K$30,AC35:AC43)</f>
        <v>0.33414780844320996</v>
      </c>
      <c r="AE35" s="13" cm="1">
        <f t="array" ref="AE35:AE43">MMULT($C$22:$K$30,AD35:AD43)</f>
        <v>0.34521205222088958</v>
      </c>
      <c r="AF35" s="13" cm="1">
        <f t="array" ref="AF35:AF43">MMULT($C$22:$K$30,AE35:AE43)</f>
        <v>0.35609280344422256</v>
      </c>
    </row>
    <row r="36" spans="1:32" x14ac:dyDescent="0.25">
      <c r="A36" s="10">
        <v>2</v>
      </c>
      <c r="B36" s="7" t="s">
        <v>5</v>
      </c>
      <c r="C36" s="15">
        <f t="shared" ref="C36:C43" si="10">K23</f>
        <v>3.5459776856096802E-4</v>
      </c>
      <c r="D36" s="13">
        <v>5.2323947360167836E-3</v>
      </c>
      <c r="E36" s="13">
        <v>1.3324827536088355E-2</v>
      </c>
      <c r="F36" s="13">
        <v>2.3669303648238223E-2</v>
      </c>
      <c r="G36" s="13">
        <v>3.5563219870739959E-2</v>
      </c>
      <c r="H36" s="13">
        <v>4.8497043933368095E-2</v>
      </c>
      <c r="I36" s="13">
        <v>6.2103314843897174E-2</v>
      </c>
      <c r="J36" s="13">
        <v>7.6118365492240186E-2</v>
      </c>
      <c r="K36" s="13">
        <v>9.0353922926260183E-2</v>
      </c>
      <c r="L36" s="13">
        <v>0.10467622372090991</v>
      </c>
      <c r="M36" s="13">
        <v>0.11899076269106111</v>
      </c>
      <c r="N36" s="13">
        <v>0.13323121730883991</v>
      </c>
      <c r="O36" s="13">
        <v>0.14735144064792177</v>
      </c>
      <c r="P36" s="13">
        <v>0.16131969391262618</v>
      </c>
      <c r="Q36" s="13">
        <v>0.17511450466190806</v>
      </c>
      <c r="R36" s="13">
        <v>0.18872169992856527</v>
      </c>
      <c r="S36" s="13">
        <v>0.20213228539739062</v>
      </c>
      <c r="T36" s="13">
        <v>0.21534093204869667</v>
      </c>
      <c r="U36" s="13">
        <v>0.22834489789644638</v>
      </c>
      <c r="V36" s="13">
        <v>0.24114326073039341</v>
      </c>
      <c r="W36" s="13">
        <v>0.25373637278708744</v>
      </c>
      <c r="X36" s="13">
        <v>0.26612547356246119</v>
      </c>
      <c r="Y36" s="13">
        <v>0.27831241517832905</v>
      </c>
      <c r="Z36" s="13">
        <v>0.29029946777612575</v>
      </c>
      <c r="AA36" s="13">
        <v>0.30208918176240973</v>
      </c>
      <c r="AB36" s="13">
        <v>0.31368429041267487</v>
      </c>
      <c r="AC36" s="13">
        <v>0.32508764110693611</v>
      </c>
      <c r="AD36" s="13">
        <v>0.33630214686660698</v>
      </c>
      <c r="AE36" s="13">
        <v>0.34733075227883009</v>
      </c>
      <c r="AF36" s="13">
        <v>0.35817640961245706</v>
      </c>
    </row>
    <row r="37" spans="1:32" x14ac:dyDescent="0.25">
      <c r="A37" s="10">
        <v>3</v>
      </c>
      <c r="B37" s="7" t="s">
        <v>6</v>
      </c>
      <c r="C37" s="15">
        <f t="shared" si="10"/>
        <v>8.545824263170021E-4</v>
      </c>
      <c r="D37" s="13">
        <v>6.2917940843774493E-3</v>
      </c>
      <c r="E37" s="13">
        <v>1.4897586255442387E-2</v>
      </c>
      <c r="F37" s="13">
        <v>2.5669747915012503E-2</v>
      </c>
      <c r="G37" s="13">
        <v>3.7898768947583164E-2</v>
      </c>
      <c r="H37" s="13">
        <v>5.1082981709568369E-2</v>
      </c>
      <c r="I37" s="13">
        <v>6.4868190673069981E-2</v>
      </c>
      <c r="J37" s="13">
        <v>7.9004766989369271E-2</v>
      </c>
      <c r="K37" s="13">
        <v>9.3317181586316966E-2</v>
      </c>
      <c r="L37" s="13">
        <v>0.10768238651766239</v>
      </c>
      <c r="M37" s="13">
        <v>0.12201448429142182</v>
      </c>
      <c r="N37" s="13">
        <v>0.13625386194801506</v>
      </c>
      <c r="O37" s="13">
        <v>0.15035949304505311</v>
      </c>
      <c r="P37" s="13">
        <v>0.16430348603149958</v>
      </c>
      <c r="Q37" s="13">
        <v>0.17806722474298667</v>
      </c>
      <c r="R37" s="13">
        <v>0.19163863682301366</v>
      </c>
      <c r="S37" s="13">
        <v>0.20501026092603722</v>
      </c>
      <c r="T37" s="13">
        <v>0.21817787943605071</v>
      </c>
      <c r="U37" s="13">
        <v>0.23113955145339005</v>
      </c>
      <c r="V37" s="13">
        <v>0.24389492902927085</v>
      </c>
      <c r="W37" s="13">
        <v>0.25644477380413377</v>
      </c>
      <c r="X37" s="13">
        <v>0.26879061541541793</v>
      </c>
      <c r="Y37" s="13">
        <v>0.2809345101835885</v>
      </c>
      <c r="Z37" s="13">
        <v>0.29287887072109087</v>
      </c>
      <c r="AA37" s="13">
        <v>0.30462634569790037</v>
      </c>
      <c r="AB37" s="13">
        <v>0.31617973507487762</v>
      </c>
      <c r="AC37" s="13">
        <v>0.32754193041588153</v>
      </c>
      <c r="AD37" s="13">
        <v>0.33871587293117311</v>
      </c>
      <c r="AE37" s="13">
        <v>0.34970452405600039</v>
      </c>
      <c r="AF37" s="13">
        <v>0.36051084488981144</v>
      </c>
    </row>
    <row r="38" spans="1:32" x14ac:dyDescent="0.25">
      <c r="A38" s="10">
        <v>4</v>
      </c>
      <c r="B38" s="7" t="s">
        <v>7</v>
      </c>
      <c r="C38" s="15">
        <f t="shared" si="10"/>
        <v>2.0595479952781729E-3</v>
      </c>
      <c r="D38" s="13">
        <v>8.4214861270902157E-3</v>
      </c>
      <c r="E38" s="13">
        <v>1.7716393812589139E-2</v>
      </c>
      <c r="F38" s="13">
        <v>2.8988437971647511E-2</v>
      </c>
      <c r="G38" s="13">
        <v>4.156990249010882E-2</v>
      </c>
      <c r="H38" s="13">
        <v>5.4994142154074679E-2</v>
      </c>
      <c r="I38" s="13">
        <v>6.8935052423810539E-2</v>
      </c>
      <c r="J38" s="13">
        <v>8.3164891673445568E-2</v>
      </c>
      <c r="K38" s="13">
        <v>9.7524839000298111E-2</v>
      </c>
      <c r="L38" s="13">
        <v>0.11190441006638498</v>
      </c>
      <c r="M38" s="13">
        <v>0.12622704637546331</v>
      </c>
      <c r="N38" s="13">
        <v>0.14044001455681818</v>
      </c>
      <c r="O38" s="13">
        <v>0.15450731931004624</v>
      </c>
      <c r="P38" s="13">
        <v>0.16840472639833309</v>
      </c>
      <c r="Q38" s="13">
        <v>0.18211626474689332</v>
      </c>
      <c r="R38" s="13">
        <v>0.19563176643008723</v>
      </c>
      <c r="S38" s="13">
        <v>0.20894513559970404</v>
      </c>
      <c r="T38" s="13">
        <v>0.22205312977452421</v>
      </c>
      <c r="U38" s="13">
        <v>0.23495450150984656</v>
      </c>
      <c r="V38" s="13">
        <v>0.24764939370204636</v>
      </c>
      <c r="W38" s="13">
        <v>0.26013891349679591</v>
      </c>
      <c r="X38" s="13">
        <v>0.27242483202492074</v>
      </c>
      <c r="Y38" s="13">
        <v>0.28450937282145083</v>
      </c>
      <c r="Z38" s="13">
        <v>0.29639506277110406</v>
      </c>
      <c r="AA38" s="13">
        <v>0.30808462715208695</v>
      </c>
      <c r="AB38" s="13">
        <v>0.31958091578963366</v>
      </c>
      <c r="AC38" s="13">
        <v>0.33088685116116318</v>
      </c>
      <c r="AD38" s="13">
        <v>0.34200539199357816</v>
      </c>
      <c r="AE38" s="13">
        <v>0.35293950779528321</v>
      </c>
      <c r="AF38" s="13">
        <v>0.36369216110660851</v>
      </c>
    </row>
    <row r="39" spans="1:32" x14ac:dyDescent="0.25">
      <c r="A39" s="10">
        <v>5</v>
      </c>
      <c r="B39" s="7" t="s">
        <v>8</v>
      </c>
      <c r="C39" s="15">
        <f t="shared" si="10"/>
        <v>4.9635211469711291E-3</v>
      </c>
      <c r="D39" s="13">
        <v>1.328842674532214E-2</v>
      </c>
      <c r="E39" s="13">
        <v>2.3894668083716371E-2</v>
      </c>
      <c r="F39" s="13">
        <v>3.6027388574341707E-2</v>
      </c>
      <c r="G39" s="13">
        <v>4.9158288183452616E-2</v>
      </c>
      <c r="H39" s="13">
        <v>6.2917338404760159E-2</v>
      </c>
      <c r="I39" s="13">
        <v>7.7045336688437119E-2</v>
      </c>
      <c r="J39" s="13">
        <v>9.1360836337364082E-2</v>
      </c>
      <c r="K39" s="13">
        <v>0.10573703346860919</v>
      </c>
      <c r="L39" s="13">
        <v>0.12008557531583283</v>
      </c>
      <c r="M39" s="13">
        <v>0.13434519460613426</v>
      </c>
      <c r="N39" s="13">
        <v>0.14847371804098791</v>
      </c>
      <c r="O39" s="13">
        <v>0.16244243917009171</v>
      </c>
      <c r="P39" s="13">
        <v>0.17623215136013673</v>
      </c>
      <c r="Q39" s="13">
        <v>0.18983034830346945</v>
      </c>
      <c r="R39" s="13">
        <v>0.20322924681862578</v>
      </c>
      <c r="S39" s="13">
        <v>0.21642438948057985</v>
      </c>
      <c r="T39" s="13">
        <v>0.22941365652392351</v>
      </c>
      <c r="U39" s="13">
        <v>0.24219656687596761</v>
      </c>
      <c r="V39" s="13">
        <v>0.25477378358936431</v>
      </c>
      <c r="W39" s="13">
        <v>0.26714676385912089</v>
      </c>
      <c r="X39" s="13">
        <v>0.27931751136249061</v>
      </c>
      <c r="Y39" s="13">
        <v>0.29128840104161152</v>
      </c>
      <c r="Z39" s="13">
        <v>0.30306205519044871</v>
      </c>
      <c r="AA39" s="13">
        <v>0.31464125588457742</v>
      </c>
      <c r="AB39" s="13">
        <v>0.3260288831600705</v>
      </c>
      <c r="AC39" s="13">
        <v>0.33722787143793337</v>
      </c>
      <c r="AD39" s="13">
        <v>0.34824117887787404</v>
      </c>
      <c r="AE39" s="13">
        <v>0.35907176589409895</v>
      </c>
      <c r="AF39" s="13">
        <v>0.36972258016298581</v>
      </c>
    </row>
    <row r="40" spans="1:32" x14ac:dyDescent="0.25">
      <c r="A40" s="10">
        <v>6</v>
      </c>
      <c r="B40" s="7" t="s">
        <v>9</v>
      </c>
      <c r="C40" s="15">
        <f t="shared" si="10"/>
        <v>1.1962111217078993E-2</v>
      </c>
      <c r="D40" s="13">
        <v>2.5032452959033204E-2</v>
      </c>
      <c r="E40" s="13">
        <v>3.8820688914345119E-2</v>
      </c>
      <c r="F40" s="13">
        <v>5.3051065087816297E-2</v>
      </c>
      <c r="G40" s="13">
        <v>6.7528126756210616E-2</v>
      </c>
      <c r="H40" s="13">
        <v>8.2113093110810692E-2</v>
      </c>
      <c r="I40" s="13">
        <v>9.6707419625003024E-2</v>
      </c>
      <c r="J40" s="13">
        <v>0.11124126529982953</v>
      </c>
      <c r="K40" s="13">
        <v>0.12566534315877628</v>
      </c>
      <c r="L40" s="13">
        <v>0.13994512689978922</v>
      </c>
      <c r="M40" s="13">
        <v>0.15405671219305689</v>
      </c>
      <c r="N40" s="13">
        <v>0.1679838482972936</v>
      </c>
      <c r="O40" s="13">
        <v>0.18171580238829901</v>
      </c>
      <c r="P40" s="13">
        <v>0.1952458192935505</v>
      </c>
      <c r="Q40" s="13">
        <v>0.20857000863730135</v>
      </c>
      <c r="R40" s="13">
        <v>0.2216865397591104</v>
      </c>
      <c r="S40" s="13">
        <v>0.23459505879152495</v>
      </c>
      <c r="T40" s="13">
        <v>0.24729626639002444</v>
      </c>
      <c r="U40" s="13">
        <v>0.25979161179129107</v>
      </c>
      <c r="V40" s="13">
        <v>0.27208307118261593</v>
      </c>
      <c r="W40" s="13">
        <v>0.28417298721372153</v>
      </c>
      <c r="X40" s="13">
        <v>0.29606395286362497</v>
      </c>
      <c r="Y40" s="13">
        <v>0.30775872748800204</v>
      </c>
      <c r="Z40" s="13">
        <v>0.31926017621276082</v>
      </c>
      <c r="AA40" s="13">
        <v>0.33057122626131447</v>
      </c>
      <c r="AB40" s="13">
        <v>0.34169483556040625</v>
      </c>
      <c r="AC40" s="13">
        <v>0.35263397024526089</v>
      </c>
      <c r="AD40" s="13">
        <v>0.36339158861146981</v>
      </c>
      <c r="AE40" s="13">
        <v>0.37397062973403616</v>
      </c>
      <c r="AF40" s="13">
        <v>0.38437400546279044</v>
      </c>
    </row>
    <row r="41" spans="1:32" x14ac:dyDescent="0.25">
      <c r="A41" s="10">
        <v>7</v>
      </c>
      <c r="B41" s="7" t="s">
        <v>10</v>
      </c>
      <c r="C41" s="15">
        <f t="shared" si="10"/>
        <v>2.8828748892726245E-2</v>
      </c>
      <c r="D41" s="13">
        <v>5.3683755001449888E-2</v>
      </c>
      <c r="E41" s="13">
        <v>7.5626376976144757E-2</v>
      </c>
      <c r="F41" s="13">
        <v>9.5418853259565242E-2</v>
      </c>
      <c r="G41" s="13">
        <v>0.11360805415536045</v>
      </c>
      <c r="H41" s="13">
        <v>0.13058613517785989</v>
      </c>
      <c r="I41" s="13">
        <v>0.1466343124305656</v>
      </c>
      <c r="J41" s="13">
        <v>0.16195436960297213</v>
      </c>
      <c r="K41" s="13">
        <v>0.17669128412952403</v>
      </c>
      <c r="L41" s="13">
        <v>0.1909494460336183</v>
      </c>
      <c r="M41" s="13">
        <v>0.20480426646212538</v>
      </c>
      <c r="N41" s="13">
        <v>0.21831047617922961</v>
      </c>
      <c r="O41" s="13">
        <v>0.23150805182069842</v>
      </c>
      <c r="P41" s="13">
        <v>0.24442644451371695</v>
      </c>
      <c r="Q41" s="13">
        <v>0.25708759510214557</v>
      </c>
      <c r="R41" s="13">
        <v>0.26950808296249734</v>
      </c>
      <c r="S41" s="13">
        <v>0.28170065668725552</v>
      </c>
      <c r="T41" s="13">
        <v>0.29367532407227825</v>
      </c>
      <c r="U41" s="13">
        <v>0.30544012809259474</v>
      </c>
      <c r="V41" s="13">
        <v>0.31700169924109378</v>
      </c>
      <c r="W41" s="13">
        <v>0.3283656486577694</v>
      </c>
      <c r="X41" s="13">
        <v>0.33953684795360556</v>
      </c>
      <c r="Y41" s="13">
        <v>0.35051962841973583</v>
      </c>
      <c r="Z41" s="13">
        <v>0.36131792289326747</v>
      </c>
      <c r="AA41" s="13">
        <v>0.37193536684038653</v>
      </c>
      <c r="AB41" s="13">
        <v>0.38237537043848219</v>
      </c>
      <c r="AC41" s="13">
        <v>0.39264117003723004</v>
      </c>
      <c r="AD41" s="13">
        <v>0.40273586495783387</v>
      </c>
      <c r="AE41" s="13">
        <v>0.41266244386748496</v>
      </c>
      <c r="AF41" s="13">
        <v>0.42242380374123423</v>
      </c>
    </row>
    <row r="42" spans="1:32" x14ac:dyDescent="0.25">
      <c r="A42" s="10">
        <v>8</v>
      </c>
      <c r="B42" s="7" t="s">
        <v>11</v>
      </c>
      <c r="C42" s="15">
        <f t="shared" si="10"/>
        <v>6.9477431503333562E-2</v>
      </c>
      <c r="D42" s="13">
        <v>0.12247802614686731</v>
      </c>
      <c r="E42" s="13">
        <v>0.16371377350459648</v>
      </c>
      <c r="F42" s="13">
        <v>0.19653416635706533</v>
      </c>
      <c r="G42" s="13">
        <v>0.2233198724802028</v>
      </c>
      <c r="H42" s="13">
        <v>0.24576289311190075</v>
      </c>
      <c r="I42" s="13">
        <v>0.26506584201734201</v>
      </c>
      <c r="J42" s="13">
        <v>0.28208363721350005</v>
      </c>
      <c r="K42" s="13">
        <v>0.2974242131814091</v>
      </c>
      <c r="L42" s="13">
        <v>0.31152008564999439</v>
      </c>
      <c r="M42" s="13">
        <v>0.32467919289928043</v>
      </c>
      <c r="N42" s="13">
        <v>0.33712100772712139</v>
      </c>
      <c r="O42" s="13">
        <v>0.34900218329736649</v>
      </c>
      <c r="P42" s="13">
        <v>0.36043476383493561</v>
      </c>
      <c r="Q42" s="13">
        <v>0.37149911436656752</v>
      </c>
      <c r="R42" s="13">
        <v>0.38225310015470965</v>
      </c>
      <c r="S42" s="13">
        <v>0.39273860317236814</v>
      </c>
      <c r="T42" s="13">
        <v>0.40298614791121101</v>
      </c>
      <c r="U42" s="13">
        <v>0.4130181849616576</v>
      </c>
      <c r="V42" s="13">
        <v>0.42285142178546437</v>
      </c>
      <c r="W42" s="13">
        <v>0.43249847716039003</v>
      </c>
      <c r="X42" s="13">
        <v>0.44196905557356558</v>
      </c>
      <c r="Y42" s="13">
        <v>0.45127078089268169</v>
      </c>
      <c r="Z42" s="13">
        <v>0.4604097882131854</v>
      </c>
      <c r="AA42" s="13">
        <v>0.4693911440775323</v>
      </c>
      <c r="AB42" s="13">
        <v>0.47821914488819856</v>
      </c>
      <c r="AC42" s="13">
        <v>0.48689752887422821</v>
      </c>
      <c r="AD42" s="13">
        <v>0.49542962670636631</v>
      </c>
      <c r="AE42" s="13">
        <v>0.50381846857048862</v>
      </c>
      <c r="AF42" s="13">
        <v>0.5120668603384757</v>
      </c>
    </row>
    <row r="43" spans="1:32" x14ac:dyDescent="0.25">
      <c r="A43" s="10">
        <v>9</v>
      </c>
      <c r="B43" s="7" t="s">
        <v>71</v>
      </c>
      <c r="C43" s="15">
        <f t="shared" si="10"/>
        <v>1</v>
      </c>
      <c r="D43" s="13">
        <v>1</v>
      </c>
      <c r="E43" s="13">
        <v>1</v>
      </c>
      <c r="F43" s="13">
        <v>1</v>
      </c>
      <c r="G43" s="13">
        <v>1</v>
      </c>
      <c r="H43" s="13">
        <v>1</v>
      </c>
      <c r="I43" s="13">
        <v>1</v>
      </c>
      <c r="J43" s="13">
        <v>1</v>
      </c>
      <c r="K43" s="13">
        <v>1</v>
      </c>
      <c r="L43" s="13">
        <v>1</v>
      </c>
      <c r="M43" s="13">
        <v>1</v>
      </c>
      <c r="N43" s="13">
        <v>1</v>
      </c>
      <c r="O43" s="13">
        <v>1</v>
      </c>
      <c r="P43" s="13">
        <v>1</v>
      </c>
      <c r="Q43" s="13">
        <v>1</v>
      </c>
      <c r="R43" s="13">
        <v>1</v>
      </c>
      <c r="S43" s="13">
        <v>1</v>
      </c>
      <c r="T43" s="13">
        <v>1</v>
      </c>
      <c r="U43" s="13">
        <v>1</v>
      </c>
      <c r="V43" s="13">
        <v>1</v>
      </c>
      <c r="W43" s="13">
        <v>1</v>
      </c>
      <c r="X43" s="13">
        <v>1</v>
      </c>
      <c r="Y43" s="13">
        <v>1</v>
      </c>
      <c r="Z43" s="13">
        <v>1</v>
      </c>
      <c r="AA43" s="13">
        <v>1</v>
      </c>
      <c r="AB43" s="13">
        <v>1</v>
      </c>
      <c r="AC43" s="13">
        <v>1</v>
      </c>
      <c r="AD43" s="13">
        <v>1</v>
      </c>
      <c r="AE43" s="13">
        <v>1</v>
      </c>
      <c r="AF43" s="13">
        <v>1</v>
      </c>
    </row>
    <row r="44" spans="1:32" x14ac:dyDescent="0.25">
      <c r="A44" s="10"/>
      <c r="B44" s="49"/>
    </row>
    <row r="45" spans="1:32" s="2" customFormat="1" x14ac:dyDescent="0.25">
      <c r="B45" s="1" t="s">
        <v>67</v>
      </c>
    </row>
    <row r="47" spans="1:32" x14ac:dyDescent="0.25">
      <c r="B47" s="8" t="s">
        <v>12</v>
      </c>
      <c r="C47" s="9">
        <v>1</v>
      </c>
      <c r="D47" s="9">
        <v>2</v>
      </c>
      <c r="E47" s="9">
        <v>3</v>
      </c>
      <c r="F47" s="9">
        <v>4</v>
      </c>
      <c r="G47" s="9">
        <v>5</v>
      </c>
      <c r="H47" s="9">
        <v>6</v>
      </c>
      <c r="I47" s="9">
        <v>7</v>
      </c>
      <c r="J47" s="9">
        <v>8</v>
      </c>
      <c r="K47" s="9">
        <v>9</v>
      </c>
      <c r="L47" s="9">
        <v>10</v>
      </c>
      <c r="M47" s="9">
        <v>11</v>
      </c>
      <c r="N47" s="9">
        <v>12</v>
      </c>
      <c r="O47" s="9">
        <v>13</v>
      </c>
      <c r="P47" s="9">
        <v>14</v>
      </c>
      <c r="Q47" s="9">
        <v>15</v>
      </c>
      <c r="R47" s="9">
        <v>16</v>
      </c>
      <c r="S47" s="9">
        <v>17</v>
      </c>
      <c r="T47" s="9">
        <v>18</v>
      </c>
      <c r="U47" s="9">
        <v>19</v>
      </c>
      <c r="V47" s="9">
        <v>20</v>
      </c>
      <c r="W47" s="9">
        <v>21</v>
      </c>
      <c r="X47" s="9">
        <v>22</v>
      </c>
      <c r="Y47" s="9">
        <v>23</v>
      </c>
      <c r="Z47" s="9">
        <v>24</v>
      </c>
      <c r="AA47" s="9">
        <v>25</v>
      </c>
      <c r="AB47" s="9">
        <v>26</v>
      </c>
      <c r="AC47" s="9">
        <v>27</v>
      </c>
      <c r="AD47" s="9">
        <v>28</v>
      </c>
      <c r="AE47" s="9">
        <v>29</v>
      </c>
      <c r="AF47" s="9">
        <v>30</v>
      </c>
    </row>
    <row r="48" spans="1:32" x14ac:dyDescent="0.25">
      <c r="A48" s="10">
        <v>1</v>
      </c>
      <c r="B48" s="7" t="s">
        <v>3</v>
      </c>
      <c r="C48" s="15">
        <f>C35</f>
        <v>1.4713569293756503E-4</v>
      </c>
      <c r="D48" s="15">
        <f>D35-C35</f>
        <v>4.4387189368220292E-3</v>
      </c>
      <c r="E48" s="15">
        <f t="shared" ref="E48:AF56" si="11">E35-D35</f>
        <v>7.6172181498577931E-3</v>
      </c>
      <c r="F48" s="15">
        <f t="shared" si="11"/>
        <v>9.9181515269426528E-3</v>
      </c>
      <c r="G48" s="15">
        <f t="shared" si="11"/>
        <v>1.1545586767711755E-2</v>
      </c>
      <c r="H48" s="15">
        <f t="shared" si="11"/>
        <v>1.2665964714453165E-2</v>
      </c>
      <c r="I48" s="15">
        <f t="shared" si="11"/>
        <v>1.3410051956758942E-2</v>
      </c>
      <c r="J48" s="15">
        <f t="shared" si="11"/>
        <v>1.3878039833760576E-2</v>
      </c>
      <c r="K48" s="15">
        <f t="shared" si="11"/>
        <v>1.414534018197143E-2</v>
      </c>
      <c r="L48" s="15">
        <f t="shared" si="11"/>
        <v>1.4267975138632108E-2</v>
      </c>
      <c r="M48" s="15">
        <f t="shared" si="11"/>
        <v>1.4287150824814923E-2</v>
      </c>
      <c r="N48" s="15">
        <f t="shared" si="11"/>
        <v>1.4232942081498529E-2</v>
      </c>
      <c r="O48" s="15">
        <f t="shared" si="11"/>
        <v>1.4127164588762314E-2</v>
      </c>
      <c r="P48" s="15">
        <f t="shared" si="11"/>
        <v>1.3985563655007527E-2</v>
      </c>
      <c r="Q48" s="15">
        <f t="shared" si="11"/>
        <v>1.3819455520479529E-2</v>
      </c>
      <c r="R48" s="15">
        <f t="shared" si="11"/>
        <v>1.3636943465347218E-2</v>
      </c>
      <c r="S48" s="15">
        <f t="shared" si="11"/>
        <v>1.3443810703107351E-2</v>
      </c>
      <c r="T48" s="15">
        <f t="shared" si="11"/>
        <v>1.3244171348198441E-2</v>
      </c>
      <c r="U48" s="15">
        <f t="shared" si="11"/>
        <v>1.3040942374221209E-2</v>
      </c>
      <c r="V48" s="15">
        <f t="shared" si="11"/>
        <v>1.2836184274790358E-2</v>
      </c>
      <c r="W48" s="15">
        <f t="shared" si="11"/>
        <v>1.263134607744254E-2</v>
      </c>
      <c r="X48" s="15">
        <f t="shared" si="11"/>
        <v>1.2427441055438804E-2</v>
      </c>
      <c r="Y48" s="15">
        <f t="shared" si="11"/>
        <v>1.2225172441432564E-2</v>
      </c>
      <c r="Z48" s="15">
        <f t="shared" si="11"/>
        <v>1.2025023194713491E-2</v>
      </c>
      <c r="AA48" s="15">
        <f t="shared" si="11"/>
        <v>1.1827319997231189E-2</v>
      </c>
      <c r="AB48" s="15">
        <f t="shared" si="11"/>
        <v>1.163227881580281E-2</v>
      </c>
      <c r="AC48" s="15">
        <f t="shared" si="11"/>
        <v>1.1440037303746264E-2</v>
      </c>
      <c r="AD48" s="15">
        <f t="shared" si="11"/>
        <v>1.1250677821326882E-2</v>
      </c>
      <c r="AE48" s="15">
        <f t="shared" si="11"/>
        <v>1.1064243777679617E-2</v>
      </c>
      <c r="AF48" s="15">
        <f t="shared" si="11"/>
        <v>1.0880751223332985E-2</v>
      </c>
    </row>
    <row r="49" spans="1:32" x14ac:dyDescent="0.25">
      <c r="A49" s="10">
        <v>2</v>
      </c>
      <c r="B49" s="7" t="s">
        <v>5</v>
      </c>
      <c r="C49" s="15">
        <f t="shared" ref="C49:C56" si="12">C36</f>
        <v>3.5459776856096802E-4</v>
      </c>
      <c r="D49" s="15">
        <f t="shared" ref="D49:S56" si="13">D36-C36</f>
        <v>4.8777969674558153E-3</v>
      </c>
      <c r="E49" s="15">
        <f t="shared" si="13"/>
        <v>8.0924328000715716E-3</v>
      </c>
      <c r="F49" s="15">
        <f t="shared" si="13"/>
        <v>1.0344476112149868E-2</v>
      </c>
      <c r="G49" s="15">
        <f t="shared" si="13"/>
        <v>1.1893916222501737E-2</v>
      </c>
      <c r="H49" s="15">
        <f t="shared" si="13"/>
        <v>1.2933824062628135E-2</v>
      </c>
      <c r="I49" s="15">
        <f t="shared" si="13"/>
        <v>1.3606270910529079E-2</v>
      </c>
      <c r="J49" s="15">
        <f t="shared" si="13"/>
        <v>1.4015050648343012E-2</v>
      </c>
      <c r="K49" s="15">
        <f t="shared" si="13"/>
        <v>1.4235557434019996E-2</v>
      </c>
      <c r="L49" s="15">
        <f t="shared" si="13"/>
        <v>1.4322300794649731E-2</v>
      </c>
      <c r="M49" s="15">
        <f t="shared" si="13"/>
        <v>1.4314538970151197E-2</v>
      </c>
      <c r="N49" s="15">
        <f t="shared" si="13"/>
        <v>1.42404546177788E-2</v>
      </c>
      <c r="O49" s="15">
        <f t="shared" si="13"/>
        <v>1.4120223339081861E-2</v>
      </c>
      <c r="P49" s="15">
        <f t="shared" si="13"/>
        <v>1.3968253264704411E-2</v>
      </c>
      <c r="Q49" s="15">
        <f t="shared" si="13"/>
        <v>1.3794810749281877E-2</v>
      </c>
      <c r="R49" s="15">
        <f t="shared" si="13"/>
        <v>1.3607195266657213E-2</v>
      </c>
      <c r="S49" s="15">
        <f t="shared" si="13"/>
        <v>1.3410585468825342E-2</v>
      </c>
      <c r="T49" s="15">
        <f t="shared" si="11"/>
        <v>1.3208646651306055E-2</v>
      </c>
      <c r="U49" s="15">
        <f t="shared" si="11"/>
        <v>1.300396584774971E-2</v>
      </c>
      <c r="V49" s="15">
        <f t="shared" si="11"/>
        <v>1.279836283394703E-2</v>
      </c>
      <c r="W49" s="15">
        <f t="shared" si="11"/>
        <v>1.2593112056694028E-2</v>
      </c>
      <c r="X49" s="15">
        <f t="shared" si="11"/>
        <v>1.2389100775373751E-2</v>
      </c>
      <c r="Y49" s="15">
        <f t="shared" si="11"/>
        <v>1.2186941615867863E-2</v>
      </c>
      <c r="Z49" s="15">
        <f t="shared" si="11"/>
        <v>1.1987052597796699E-2</v>
      </c>
      <c r="AA49" s="15">
        <f t="shared" si="11"/>
        <v>1.1789713986283978E-2</v>
      </c>
      <c r="AB49" s="15">
        <f t="shared" si="11"/>
        <v>1.159510865026514E-2</v>
      </c>
      <c r="AC49" s="15">
        <f t="shared" si="11"/>
        <v>1.1403350694261238E-2</v>
      </c>
      <c r="AD49" s="15">
        <f t="shared" si="11"/>
        <v>1.1214505759670867E-2</v>
      </c>
      <c r="AE49" s="15">
        <f t="shared" si="11"/>
        <v>1.1028605412223114E-2</v>
      </c>
      <c r="AF49" s="15">
        <f t="shared" si="11"/>
        <v>1.0845657333626968E-2</v>
      </c>
    </row>
    <row r="50" spans="1:32" x14ac:dyDescent="0.25">
      <c r="A50" s="10">
        <v>3</v>
      </c>
      <c r="B50" s="7" t="s">
        <v>6</v>
      </c>
      <c r="C50" s="15">
        <f t="shared" si="12"/>
        <v>8.545824263170021E-4</v>
      </c>
      <c r="D50" s="15">
        <f t="shared" si="13"/>
        <v>5.4372116580604472E-3</v>
      </c>
      <c r="E50" s="15">
        <f t="shared" si="11"/>
        <v>8.6057921710649375E-3</v>
      </c>
      <c r="F50" s="15">
        <f t="shared" si="11"/>
        <v>1.0772161659570116E-2</v>
      </c>
      <c r="G50" s="15">
        <f t="shared" si="11"/>
        <v>1.2229021032570661E-2</v>
      </c>
      <c r="H50" s="15">
        <f t="shared" si="11"/>
        <v>1.3184212761985205E-2</v>
      </c>
      <c r="I50" s="15">
        <f t="shared" si="11"/>
        <v>1.3785208963501612E-2</v>
      </c>
      <c r="J50" s="15">
        <f t="shared" si="11"/>
        <v>1.413657631629929E-2</v>
      </c>
      <c r="K50" s="15">
        <f t="shared" si="11"/>
        <v>1.4312414596947695E-2</v>
      </c>
      <c r="L50" s="15">
        <f t="shared" si="11"/>
        <v>1.4365204931345424E-2</v>
      </c>
      <c r="M50" s="15">
        <f t="shared" si="11"/>
        <v>1.4332097773759434E-2</v>
      </c>
      <c r="N50" s="15">
        <f t="shared" si="11"/>
        <v>1.4239377656593236E-2</v>
      </c>
      <c r="O50" s="15">
        <f t="shared" si="11"/>
        <v>1.4105631097038052E-2</v>
      </c>
      <c r="P50" s="15">
        <f t="shared" si="11"/>
        <v>1.3943992986446468E-2</v>
      </c>
      <c r="Q50" s="15">
        <f t="shared" si="11"/>
        <v>1.3763738711487089E-2</v>
      </c>
      <c r="R50" s="15">
        <f t="shared" si="11"/>
        <v>1.357141208002699E-2</v>
      </c>
      <c r="S50" s="15">
        <f t="shared" si="11"/>
        <v>1.3371624103023561E-2</v>
      </c>
      <c r="T50" s="15">
        <f t="shared" si="11"/>
        <v>1.3167618510013496E-2</v>
      </c>
      <c r="U50" s="15">
        <f t="shared" si="11"/>
        <v>1.2961672017339332E-2</v>
      </c>
      <c r="V50" s="15">
        <f t="shared" si="11"/>
        <v>1.27553775758808E-2</v>
      </c>
      <c r="W50" s="15">
        <f t="shared" si="11"/>
        <v>1.2549844774862928E-2</v>
      </c>
      <c r="X50" s="15">
        <f t="shared" si="11"/>
        <v>1.2345841611284158E-2</v>
      </c>
      <c r="Y50" s="15">
        <f t="shared" si="11"/>
        <v>1.2143894768170571E-2</v>
      </c>
      <c r="Z50" s="15">
        <f t="shared" si="11"/>
        <v>1.1944360537502363E-2</v>
      </c>
      <c r="AA50" s="15">
        <f t="shared" si="11"/>
        <v>1.1747474976809502E-2</v>
      </c>
      <c r="AB50" s="15">
        <f t="shared" si="11"/>
        <v>1.1553389376977252E-2</v>
      </c>
      <c r="AC50" s="15">
        <f t="shared" si="11"/>
        <v>1.1362195341003911E-2</v>
      </c>
      <c r="AD50" s="15">
        <f t="shared" si="11"/>
        <v>1.1173942515291579E-2</v>
      </c>
      <c r="AE50" s="15">
        <f t="shared" si="11"/>
        <v>1.0988651124827276E-2</v>
      </c>
      <c r="AF50" s="15">
        <f t="shared" si="11"/>
        <v>1.0806320833811056E-2</v>
      </c>
    </row>
    <row r="51" spans="1:32" x14ac:dyDescent="0.25">
      <c r="A51" s="10">
        <v>4</v>
      </c>
      <c r="B51" s="7" t="s">
        <v>7</v>
      </c>
      <c r="C51" s="15">
        <f t="shared" si="12"/>
        <v>2.0595479952781729E-3</v>
      </c>
      <c r="D51" s="15">
        <f t="shared" si="13"/>
        <v>6.3619381318120432E-3</v>
      </c>
      <c r="E51" s="15">
        <f t="shared" si="11"/>
        <v>9.2949076854989231E-3</v>
      </c>
      <c r="F51" s="15">
        <f t="shared" si="11"/>
        <v>1.1272044159058373E-2</v>
      </c>
      <c r="G51" s="15">
        <f t="shared" si="11"/>
        <v>1.2581464518461309E-2</v>
      </c>
      <c r="H51" s="15">
        <f t="shared" si="11"/>
        <v>1.3424239663965859E-2</v>
      </c>
      <c r="I51" s="15">
        <f t="shared" si="11"/>
        <v>1.3940910269735859E-2</v>
      </c>
      <c r="J51" s="15">
        <f t="shared" si="11"/>
        <v>1.4229839249635029E-2</v>
      </c>
      <c r="K51" s="15">
        <f t="shared" si="11"/>
        <v>1.4359947326852543E-2</v>
      </c>
      <c r="L51" s="15">
        <f t="shared" si="11"/>
        <v>1.4379571066086866E-2</v>
      </c>
      <c r="M51" s="15">
        <f t="shared" si="11"/>
        <v>1.4322636309078332E-2</v>
      </c>
      <c r="N51" s="15">
        <f t="shared" si="11"/>
        <v>1.4212968181354868E-2</v>
      </c>
      <c r="O51" s="15">
        <f t="shared" si="11"/>
        <v>1.4067304753228066E-2</v>
      </c>
      <c r="P51" s="15">
        <f t="shared" si="11"/>
        <v>1.3897407088286851E-2</v>
      </c>
      <c r="Q51" s="15">
        <f t="shared" si="11"/>
        <v>1.3711538348560232E-2</v>
      </c>
      <c r="R51" s="15">
        <f t="shared" si="11"/>
        <v>1.3515501683193903E-2</v>
      </c>
      <c r="S51" s="15">
        <f t="shared" si="11"/>
        <v>1.3313369169616812E-2</v>
      </c>
      <c r="T51" s="15">
        <f t="shared" si="11"/>
        <v>1.310799417482017E-2</v>
      </c>
      <c r="U51" s="15">
        <f t="shared" si="11"/>
        <v>1.2901371735322353E-2</v>
      </c>
      <c r="V51" s="15">
        <f t="shared" si="11"/>
        <v>1.2694892192199797E-2</v>
      </c>
      <c r="W51" s="15">
        <f t="shared" si="11"/>
        <v>1.2489519794749548E-2</v>
      </c>
      <c r="X51" s="15">
        <f t="shared" si="11"/>
        <v>1.2285918528124828E-2</v>
      </c>
      <c r="Y51" s="15">
        <f t="shared" si="11"/>
        <v>1.2084540796530097E-2</v>
      </c>
      <c r="Z51" s="15">
        <f t="shared" si="11"/>
        <v>1.1885689949653222E-2</v>
      </c>
      <c r="AA51" s="15">
        <f t="shared" si="11"/>
        <v>1.1689564380982898E-2</v>
      </c>
      <c r="AB51" s="15">
        <f t="shared" si="11"/>
        <v>1.1496288637546703E-2</v>
      </c>
      <c r="AC51" s="15">
        <f t="shared" si="11"/>
        <v>1.1305935371529519E-2</v>
      </c>
      <c r="AD51" s="15">
        <f t="shared" si="11"/>
        <v>1.111854083241498E-2</v>
      </c>
      <c r="AE51" s="15">
        <f t="shared" si="11"/>
        <v>1.0934115801705058E-2</v>
      </c>
      <c r="AF51" s="15">
        <f t="shared" si="11"/>
        <v>1.07526533113253E-2</v>
      </c>
    </row>
    <row r="52" spans="1:32" x14ac:dyDescent="0.25">
      <c r="A52" s="10">
        <v>5</v>
      </c>
      <c r="B52" s="7" t="s">
        <v>8</v>
      </c>
      <c r="C52" s="15">
        <f t="shared" si="12"/>
        <v>4.9635211469711291E-3</v>
      </c>
      <c r="D52" s="15">
        <f t="shared" si="13"/>
        <v>8.3249055983510116E-3</v>
      </c>
      <c r="E52" s="15">
        <f t="shared" si="11"/>
        <v>1.0606241338394232E-2</v>
      </c>
      <c r="F52" s="15">
        <f t="shared" si="11"/>
        <v>1.2132720490625335E-2</v>
      </c>
      <c r="G52" s="15">
        <f t="shared" si="11"/>
        <v>1.3130899609110909E-2</v>
      </c>
      <c r="H52" s="15">
        <f t="shared" si="11"/>
        <v>1.3759050221307544E-2</v>
      </c>
      <c r="I52" s="15">
        <f t="shared" si="11"/>
        <v>1.412799828367696E-2</v>
      </c>
      <c r="J52" s="15">
        <f t="shared" si="11"/>
        <v>1.4315499648926963E-2</v>
      </c>
      <c r="K52" s="15">
        <f t="shared" si="11"/>
        <v>1.4376197131245105E-2</v>
      </c>
      <c r="L52" s="15">
        <f t="shared" si="11"/>
        <v>1.4348541847223645E-2</v>
      </c>
      <c r="M52" s="15">
        <f t="shared" si="11"/>
        <v>1.4259619290301423E-2</v>
      </c>
      <c r="N52" s="15">
        <f t="shared" si="11"/>
        <v>1.4128523434853657E-2</v>
      </c>
      <c r="O52" s="15">
        <f t="shared" si="11"/>
        <v>1.39687211291038E-2</v>
      </c>
      <c r="P52" s="15">
        <f t="shared" si="11"/>
        <v>1.3789712190045017E-2</v>
      </c>
      <c r="Q52" s="15">
        <f t="shared" si="11"/>
        <v>1.3598196943332724E-2</v>
      </c>
      <c r="R52" s="15">
        <f t="shared" si="11"/>
        <v>1.3398898515156327E-2</v>
      </c>
      <c r="S52" s="15">
        <f t="shared" si="11"/>
        <v>1.3195142661954068E-2</v>
      </c>
      <c r="T52" s="15">
        <f t="shared" si="11"/>
        <v>1.2989267043343661E-2</v>
      </c>
      <c r="U52" s="15">
        <f t="shared" si="11"/>
        <v>1.2782910352044097E-2</v>
      </c>
      <c r="V52" s="15">
        <f t="shared" si="11"/>
        <v>1.2577216713396705E-2</v>
      </c>
      <c r="W52" s="15">
        <f t="shared" si="11"/>
        <v>1.2372980269756584E-2</v>
      </c>
      <c r="X52" s="15">
        <f t="shared" si="11"/>
        <v>1.2170747503369717E-2</v>
      </c>
      <c r="Y52" s="15">
        <f t="shared" si="11"/>
        <v>1.1970889679120911E-2</v>
      </c>
      <c r="Z52" s="15">
        <f t="shared" si="11"/>
        <v>1.1773654148837187E-2</v>
      </c>
      <c r="AA52" s="15">
        <f t="shared" si="11"/>
        <v>1.1579200694128711E-2</v>
      </c>
      <c r="AB52" s="15">
        <f t="shared" si="11"/>
        <v>1.1387627275493084E-2</v>
      </c>
      <c r="AC52" s="15">
        <f t="shared" si="11"/>
        <v>1.1198988277862865E-2</v>
      </c>
      <c r="AD52" s="15">
        <f t="shared" si="11"/>
        <v>1.1013307439940667E-2</v>
      </c>
      <c r="AE52" s="15">
        <f t="shared" si="11"/>
        <v>1.0830587016224913E-2</v>
      </c>
      <c r="AF52" s="15">
        <f t="shared" si="11"/>
        <v>1.0650814268886866E-2</v>
      </c>
    </row>
    <row r="53" spans="1:32" x14ac:dyDescent="0.25">
      <c r="A53" s="10">
        <v>6</v>
      </c>
      <c r="B53" s="7" t="s">
        <v>9</v>
      </c>
      <c r="C53" s="15">
        <f t="shared" si="12"/>
        <v>1.1962111217078993E-2</v>
      </c>
      <c r="D53" s="15">
        <f t="shared" si="13"/>
        <v>1.3070341741954211E-2</v>
      </c>
      <c r="E53" s="15">
        <f t="shared" si="11"/>
        <v>1.3788235955311916E-2</v>
      </c>
      <c r="F53" s="15">
        <f t="shared" si="11"/>
        <v>1.4230376173471178E-2</v>
      </c>
      <c r="G53" s="15">
        <f t="shared" si="11"/>
        <v>1.4477061668394318E-2</v>
      </c>
      <c r="H53" s="15">
        <f t="shared" si="11"/>
        <v>1.4584966354600076E-2</v>
      </c>
      <c r="I53" s="15">
        <f t="shared" si="11"/>
        <v>1.4594326514192332E-2</v>
      </c>
      <c r="J53" s="15">
        <f t="shared" si="11"/>
        <v>1.4533845674826504E-2</v>
      </c>
      <c r="K53" s="15">
        <f t="shared" si="11"/>
        <v>1.4424077858946754E-2</v>
      </c>
      <c r="L53" s="15">
        <f t="shared" si="11"/>
        <v>1.4279783741012936E-2</v>
      </c>
      <c r="M53" s="15">
        <f t="shared" si="11"/>
        <v>1.411158529326767E-2</v>
      </c>
      <c r="N53" s="15">
        <f t="shared" si="11"/>
        <v>1.3927136104236709E-2</v>
      </c>
      <c r="O53" s="15">
        <f t="shared" si="11"/>
        <v>1.3731954091005416E-2</v>
      </c>
      <c r="P53" s="15">
        <f t="shared" si="11"/>
        <v>1.3530016905251491E-2</v>
      </c>
      <c r="Q53" s="15">
        <f t="shared" si="11"/>
        <v>1.3324189343750847E-2</v>
      </c>
      <c r="R53" s="15">
        <f t="shared" si="11"/>
        <v>1.311653112180905E-2</v>
      </c>
      <c r="S53" s="15">
        <f t="shared" si="11"/>
        <v>1.290851903241455E-2</v>
      </c>
      <c r="T53" s="15">
        <f t="shared" si="11"/>
        <v>1.2701207598499492E-2</v>
      </c>
      <c r="U53" s="15">
        <f t="shared" si="11"/>
        <v>1.2495345401266622E-2</v>
      </c>
      <c r="V53" s="15">
        <f t="shared" si="11"/>
        <v>1.2291459391324866E-2</v>
      </c>
      <c r="W53" s="15">
        <f t="shared" si="11"/>
        <v>1.2089916031105596E-2</v>
      </c>
      <c r="X53" s="15">
        <f t="shared" si="11"/>
        <v>1.189096564990344E-2</v>
      </c>
      <c r="Y53" s="15">
        <f t="shared" si="11"/>
        <v>1.1694774624377069E-2</v>
      </c>
      <c r="Z53" s="15">
        <f t="shared" si="11"/>
        <v>1.1501448724758778E-2</v>
      </c>
      <c r="AA53" s="15">
        <f t="shared" si="11"/>
        <v>1.131105004855365E-2</v>
      </c>
      <c r="AB53" s="15">
        <f t="shared" si="11"/>
        <v>1.1123609299091786E-2</v>
      </c>
      <c r="AC53" s="15">
        <f t="shared" si="11"/>
        <v>1.0939134684854634E-2</v>
      </c>
      <c r="AD53" s="15">
        <f t="shared" si="11"/>
        <v>1.0757618366208921E-2</v>
      </c>
      <c r="AE53" s="15">
        <f t="shared" si="11"/>
        <v>1.0579041122566357E-2</v>
      </c>
      <c r="AF53" s="15">
        <f t="shared" si="11"/>
        <v>1.0403375728754272E-2</v>
      </c>
    </row>
    <row r="54" spans="1:32" x14ac:dyDescent="0.25">
      <c r="A54" s="10">
        <v>7</v>
      </c>
      <c r="B54" s="7" t="s">
        <v>10</v>
      </c>
      <c r="C54" s="15">
        <f t="shared" si="12"/>
        <v>2.8828748892726245E-2</v>
      </c>
      <c r="D54" s="15">
        <f t="shared" si="13"/>
        <v>2.4855006108723644E-2</v>
      </c>
      <c r="E54" s="15">
        <f t="shared" si="11"/>
        <v>2.1942621974694869E-2</v>
      </c>
      <c r="F54" s="15">
        <f t="shared" si="11"/>
        <v>1.9792476283420485E-2</v>
      </c>
      <c r="G54" s="15">
        <f t="shared" si="11"/>
        <v>1.8189200895795204E-2</v>
      </c>
      <c r="H54" s="15">
        <f t="shared" si="11"/>
        <v>1.6978081022499439E-2</v>
      </c>
      <c r="I54" s="15">
        <f t="shared" si="11"/>
        <v>1.6048177252705714E-2</v>
      </c>
      <c r="J54" s="15">
        <f t="shared" si="11"/>
        <v>1.5320057172406532E-2</v>
      </c>
      <c r="K54" s="15">
        <f t="shared" si="11"/>
        <v>1.4736914526551903E-2</v>
      </c>
      <c r="L54" s="15">
        <f t="shared" si="11"/>
        <v>1.4258161904094263E-2</v>
      </c>
      <c r="M54" s="15">
        <f t="shared" si="11"/>
        <v>1.3854820428507081E-2</v>
      </c>
      <c r="N54" s="15">
        <f t="shared" si="11"/>
        <v>1.3506209717104228E-2</v>
      </c>
      <c r="O54" s="15">
        <f t="shared" si="11"/>
        <v>1.3197575641468812E-2</v>
      </c>
      <c r="P54" s="15">
        <f t="shared" si="11"/>
        <v>1.2918392693018532E-2</v>
      </c>
      <c r="Q54" s="15">
        <f t="shared" si="11"/>
        <v>1.2661150588428621E-2</v>
      </c>
      <c r="R54" s="15">
        <f t="shared" si="11"/>
        <v>1.242048786035177E-2</v>
      </c>
      <c r="S54" s="15">
        <f t="shared" si="11"/>
        <v>1.2192573724758182E-2</v>
      </c>
      <c r="T54" s="15">
        <f t="shared" si="11"/>
        <v>1.197466738502273E-2</v>
      </c>
      <c r="U54" s="15">
        <f t="shared" si="11"/>
        <v>1.1764804020316488E-2</v>
      </c>
      <c r="V54" s="15">
        <f t="shared" si="11"/>
        <v>1.1561571148499039E-2</v>
      </c>
      <c r="W54" s="15">
        <f t="shared" si="11"/>
        <v>1.1363949416675623E-2</v>
      </c>
      <c r="X54" s="15">
        <f t="shared" si="11"/>
        <v>1.1171199295836154E-2</v>
      </c>
      <c r="Y54" s="15">
        <f t="shared" si="11"/>
        <v>1.0982780466130271E-2</v>
      </c>
      <c r="Z54" s="15">
        <f t="shared" si="11"/>
        <v>1.0798294473531644E-2</v>
      </c>
      <c r="AA54" s="15">
        <f t="shared" si="11"/>
        <v>1.0617443947119054E-2</v>
      </c>
      <c r="AB54" s="15">
        <f t="shared" si="11"/>
        <v>1.044000359809566E-2</v>
      </c>
      <c r="AC54" s="15">
        <f t="shared" si="11"/>
        <v>1.0265799598747849E-2</v>
      </c>
      <c r="AD54" s="15">
        <f t="shared" si="11"/>
        <v>1.0094694920603831E-2</v>
      </c>
      <c r="AE54" s="15">
        <f t="shared" si="11"/>
        <v>9.9265789096510959E-3</v>
      </c>
      <c r="AF54" s="15">
        <f t="shared" si="11"/>
        <v>9.7613598737492646E-3</v>
      </c>
    </row>
    <row r="55" spans="1:32" x14ac:dyDescent="0.25">
      <c r="A55" s="10">
        <v>8</v>
      </c>
      <c r="B55" s="7" t="s">
        <v>11</v>
      </c>
      <c r="C55" s="15">
        <f t="shared" si="12"/>
        <v>6.9477431503333562E-2</v>
      </c>
      <c r="D55" s="15">
        <f t="shared" si="13"/>
        <v>5.3000594643533752E-2</v>
      </c>
      <c r="E55" s="15">
        <f t="shared" si="11"/>
        <v>4.1235747357729169E-2</v>
      </c>
      <c r="F55" s="15">
        <f t="shared" si="11"/>
        <v>3.2820392852468849E-2</v>
      </c>
      <c r="G55" s="15">
        <f t="shared" si="11"/>
        <v>2.6785706123137465E-2</v>
      </c>
      <c r="H55" s="15">
        <f t="shared" si="11"/>
        <v>2.2443020631697952E-2</v>
      </c>
      <c r="I55" s="15">
        <f t="shared" si="11"/>
        <v>1.9302948905441264E-2</v>
      </c>
      <c r="J55" s="15">
        <f t="shared" si="11"/>
        <v>1.7017795196158036E-2</v>
      </c>
      <c r="K55" s="15">
        <f t="shared" si="11"/>
        <v>1.5340575967909054E-2</v>
      </c>
      <c r="L55" s="15">
        <f t="shared" si="11"/>
        <v>1.4095872468585291E-2</v>
      </c>
      <c r="M55" s="15">
        <f t="shared" si="11"/>
        <v>1.3159107249286039E-2</v>
      </c>
      <c r="N55" s="15">
        <f t="shared" si="11"/>
        <v>1.2441814827840958E-2</v>
      </c>
      <c r="O55" s="15">
        <f t="shared" si="11"/>
        <v>1.1881175570245095E-2</v>
      </c>
      <c r="P55" s="15">
        <f t="shared" si="11"/>
        <v>1.1432580537569126E-2</v>
      </c>
      <c r="Q55" s="15">
        <f t="shared" si="11"/>
        <v>1.1064350531631906E-2</v>
      </c>
      <c r="R55" s="15">
        <f t="shared" si="11"/>
        <v>1.0753985788142129E-2</v>
      </c>
      <c r="S55" s="15">
        <f t="shared" si="11"/>
        <v>1.0485503017658493E-2</v>
      </c>
      <c r="T55" s="15">
        <f t="shared" si="11"/>
        <v>1.0247544738842873E-2</v>
      </c>
      <c r="U55" s="15">
        <f t="shared" si="11"/>
        <v>1.0032037050446585E-2</v>
      </c>
      <c r="V55" s="15">
        <f t="shared" si="11"/>
        <v>9.833236823806768E-3</v>
      </c>
      <c r="W55" s="15">
        <f t="shared" si="11"/>
        <v>9.6470553749256616E-3</v>
      </c>
      <c r="X55" s="15">
        <f t="shared" si="11"/>
        <v>9.4705784131755566E-3</v>
      </c>
      <c r="Y55" s="15">
        <f t="shared" si="11"/>
        <v>9.3017253191161053E-3</v>
      </c>
      <c r="Z55" s="15">
        <f t="shared" si="11"/>
        <v>9.1390073205037115E-3</v>
      </c>
      <c r="AA55" s="15">
        <f t="shared" si="11"/>
        <v>8.981355864346896E-3</v>
      </c>
      <c r="AB55" s="15">
        <f t="shared" si="11"/>
        <v>8.8280008106662589E-3</v>
      </c>
      <c r="AC55" s="15">
        <f t="shared" si="11"/>
        <v>8.6783839860296585E-3</v>
      </c>
      <c r="AD55" s="15">
        <f t="shared" si="11"/>
        <v>8.5320978321380969E-3</v>
      </c>
      <c r="AE55" s="15">
        <f t="shared" si="11"/>
        <v>8.3888418641223095E-3</v>
      </c>
      <c r="AF55" s="15">
        <f t="shared" si="11"/>
        <v>8.2483917679870844E-3</v>
      </c>
    </row>
    <row r="56" spans="1:32" x14ac:dyDescent="0.25">
      <c r="A56" s="10">
        <v>9</v>
      </c>
      <c r="B56" s="7" t="s">
        <v>71</v>
      </c>
      <c r="C56" s="15">
        <f t="shared" si="12"/>
        <v>1</v>
      </c>
      <c r="D56" s="15">
        <f t="shared" si="13"/>
        <v>0</v>
      </c>
      <c r="E56" s="15">
        <f t="shared" si="11"/>
        <v>0</v>
      </c>
      <c r="F56" s="15">
        <f t="shared" si="11"/>
        <v>0</v>
      </c>
      <c r="G56" s="15">
        <f t="shared" si="11"/>
        <v>0</v>
      </c>
      <c r="H56" s="15">
        <f t="shared" si="11"/>
        <v>0</v>
      </c>
      <c r="I56" s="15">
        <f t="shared" si="11"/>
        <v>0</v>
      </c>
      <c r="J56" s="15">
        <f t="shared" si="11"/>
        <v>0</v>
      </c>
      <c r="K56" s="15">
        <f t="shared" si="11"/>
        <v>0</v>
      </c>
      <c r="L56" s="15">
        <f t="shared" si="11"/>
        <v>0</v>
      </c>
      <c r="M56" s="15">
        <f t="shared" si="11"/>
        <v>0</v>
      </c>
      <c r="N56" s="15">
        <f t="shared" si="11"/>
        <v>0</v>
      </c>
      <c r="O56" s="15">
        <f t="shared" si="11"/>
        <v>0</v>
      </c>
      <c r="P56" s="15">
        <f t="shared" si="11"/>
        <v>0</v>
      </c>
      <c r="Q56" s="15">
        <f t="shared" si="11"/>
        <v>0</v>
      </c>
      <c r="R56" s="15">
        <f t="shared" si="11"/>
        <v>0</v>
      </c>
      <c r="S56" s="15">
        <f t="shared" si="11"/>
        <v>0</v>
      </c>
      <c r="T56" s="15">
        <f t="shared" si="11"/>
        <v>0</v>
      </c>
      <c r="U56" s="15">
        <f t="shared" si="11"/>
        <v>0</v>
      </c>
      <c r="V56" s="15">
        <f t="shared" si="11"/>
        <v>0</v>
      </c>
      <c r="W56" s="15">
        <f t="shared" si="11"/>
        <v>0</v>
      </c>
      <c r="X56" s="15">
        <f t="shared" si="11"/>
        <v>0</v>
      </c>
      <c r="Y56" s="15">
        <f t="shared" si="11"/>
        <v>0</v>
      </c>
      <c r="Z56" s="15">
        <f t="shared" si="11"/>
        <v>0</v>
      </c>
      <c r="AA56" s="15">
        <f t="shared" si="11"/>
        <v>0</v>
      </c>
      <c r="AB56" s="15">
        <f t="shared" si="11"/>
        <v>0</v>
      </c>
      <c r="AC56" s="15">
        <f t="shared" si="11"/>
        <v>0</v>
      </c>
      <c r="AD56" s="15">
        <f t="shared" si="11"/>
        <v>0</v>
      </c>
      <c r="AE56" s="15">
        <f t="shared" si="11"/>
        <v>0</v>
      </c>
      <c r="AF56" s="15">
        <f t="shared" si="11"/>
        <v>0</v>
      </c>
    </row>
  </sheetData>
  <conditionalFormatting sqref="C22:K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2527F-BF84-4276-9BC7-790CAC764551}">
  <sheetPr codeName="Sheet7">
    <tabColor theme="0" tint="-0.249977111117893"/>
  </sheetPr>
  <dimension ref="A1:E469"/>
  <sheetViews>
    <sheetView workbookViewId="0">
      <selection activeCell="N15" sqref="N15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88</v>
      </c>
      <c r="C1" s="56" t="s">
        <v>87</v>
      </c>
      <c r="D1" s="56" t="s">
        <v>76</v>
      </c>
      <c r="E1" s="56" t="s">
        <v>23</v>
      </c>
    </row>
    <row r="2" spans="1:5" x14ac:dyDescent="0.25">
      <c r="A2" t="s">
        <v>70</v>
      </c>
      <c r="B2">
        <v>2018</v>
      </c>
      <c r="C2" t="s">
        <v>3</v>
      </c>
      <c r="D2" t="s">
        <v>3</v>
      </c>
      <c r="E2">
        <v>6</v>
      </c>
    </row>
    <row r="3" spans="1:5" x14ac:dyDescent="0.25">
      <c r="A3" t="s">
        <v>70</v>
      </c>
      <c r="B3">
        <v>2018</v>
      </c>
      <c r="C3" t="s">
        <v>3</v>
      </c>
      <c r="D3" t="s">
        <v>5</v>
      </c>
      <c r="E3">
        <v>3</v>
      </c>
    </row>
    <row r="4" spans="1:5" x14ac:dyDescent="0.25">
      <c r="A4" t="s">
        <v>70</v>
      </c>
      <c r="B4">
        <v>2018</v>
      </c>
      <c r="C4" t="s">
        <v>3</v>
      </c>
      <c r="D4" t="s">
        <v>6</v>
      </c>
      <c r="E4">
        <v>3</v>
      </c>
    </row>
    <row r="5" spans="1:5" x14ac:dyDescent="0.25">
      <c r="A5" t="s">
        <v>70</v>
      </c>
      <c r="B5">
        <v>2018</v>
      </c>
      <c r="C5" t="s">
        <v>3</v>
      </c>
      <c r="D5" t="s">
        <v>7</v>
      </c>
      <c r="E5">
        <v>2</v>
      </c>
    </row>
    <row r="6" spans="1:5" x14ac:dyDescent="0.25">
      <c r="A6" t="s">
        <v>70</v>
      </c>
      <c r="B6">
        <v>2018</v>
      </c>
      <c r="C6" t="s">
        <v>5</v>
      </c>
      <c r="D6" t="s">
        <v>3</v>
      </c>
      <c r="E6">
        <v>2</v>
      </c>
    </row>
    <row r="7" spans="1:5" x14ac:dyDescent="0.25">
      <c r="A7" t="s">
        <v>70</v>
      </c>
      <c r="B7">
        <v>2018</v>
      </c>
      <c r="C7" t="s">
        <v>5</v>
      </c>
      <c r="D7" t="s">
        <v>5</v>
      </c>
      <c r="E7">
        <v>10</v>
      </c>
    </row>
    <row r="8" spans="1:5" x14ac:dyDescent="0.25">
      <c r="A8" t="s">
        <v>70</v>
      </c>
      <c r="B8">
        <v>2018</v>
      </c>
      <c r="C8" t="s">
        <v>5</v>
      </c>
      <c r="D8" t="s">
        <v>6</v>
      </c>
      <c r="E8">
        <v>9</v>
      </c>
    </row>
    <row r="9" spans="1:5" x14ac:dyDescent="0.25">
      <c r="A9" t="s">
        <v>70</v>
      </c>
      <c r="B9">
        <v>2018</v>
      </c>
      <c r="C9" t="s">
        <v>5</v>
      </c>
      <c r="D9" t="s">
        <v>7</v>
      </c>
      <c r="E9">
        <v>6</v>
      </c>
    </row>
    <row r="10" spans="1:5" x14ac:dyDescent="0.25">
      <c r="A10" t="s">
        <v>70</v>
      </c>
      <c r="B10">
        <v>2018</v>
      </c>
      <c r="C10" t="s">
        <v>5</v>
      </c>
      <c r="D10" t="s">
        <v>8</v>
      </c>
      <c r="E10">
        <v>1</v>
      </c>
    </row>
    <row r="11" spans="1:5" x14ac:dyDescent="0.25">
      <c r="A11" t="s">
        <v>70</v>
      </c>
      <c r="B11">
        <v>2018</v>
      </c>
      <c r="C11" t="s">
        <v>6</v>
      </c>
      <c r="D11" t="s">
        <v>5</v>
      </c>
      <c r="E11">
        <v>5</v>
      </c>
    </row>
    <row r="12" spans="1:5" x14ac:dyDescent="0.25">
      <c r="A12" t="s">
        <v>70</v>
      </c>
      <c r="B12">
        <v>2018</v>
      </c>
      <c r="C12" t="s">
        <v>6</v>
      </c>
      <c r="D12" t="s">
        <v>6</v>
      </c>
      <c r="E12">
        <v>18</v>
      </c>
    </row>
    <row r="13" spans="1:5" x14ac:dyDescent="0.25">
      <c r="A13" t="s">
        <v>70</v>
      </c>
      <c r="B13">
        <v>2018</v>
      </c>
      <c r="C13" t="s">
        <v>6</v>
      </c>
      <c r="D13" t="s">
        <v>7</v>
      </c>
      <c r="E13">
        <v>22</v>
      </c>
    </row>
    <row r="14" spans="1:5" x14ac:dyDescent="0.25">
      <c r="A14" t="s">
        <v>70</v>
      </c>
      <c r="B14">
        <v>2018</v>
      </c>
      <c r="C14" t="s">
        <v>6</v>
      </c>
      <c r="D14" t="s">
        <v>9</v>
      </c>
      <c r="E14">
        <v>1</v>
      </c>
    </row>
    <row r="15" spans="1:5" x14ac:dyDescent="0.25">
      <c r="A15" t="s">
        <v>70</v>
      </c>
      <c r="B15">
        <v>2018</v>
      </c>
      <c r="C15" t="s">
        <v>7</v>
      </c>
      <c r="D15" t="s">
        <v>5</v>
      </c>
      <c r="E15">
        <v>4</v>
      </c>
    </row>
    <row r="16" spans="1:5" x14ac:dyDescent="0.25">
      <c r="A16" t="s">
        <v>70</v>
      </c>
      <c r="B16">
        <v>2018</v>
      </c>
      <c r="C16" t="s">
        <v>7</v>
      </c>
      <c r="D16" t="s">
        <v>6</v>
      </c>
      <c r="E16">
        <v>12</v>
      </c>
    </row>
    <row r="17" spans="1:5" x14ac:dyDescent="0.25">
      <c r="A17" t="s">
        <v>70</v>
      </c>
      <c r="B17">
        <v>2018</v>
      </c>
      <c r="C17" t="s">
        <v>7</v>
      </c>
      <c r="D17" t="s">
        <v>7</v>
      </c>
      <c r="E17">
        <v>50</v>
      </c>
    </row>
    <row r="18" spans="1:5" x14ac:dyDescent="0.25">
      <c r="A18" t="s">
        <v>70</v>
      </c>
      <c r="B18">
        <v>2018</v>
      </c>
      <c r="C18" t="s">
        <v>7</v>
      </c>
      <c r="D18" t="s">
        <v>8</v>
      </c>
      <c r="E18">
        <v>11</v>
      </c>
    </row>
    <row r="19" spans="1:5" x14ac:dyDescent="0.25">
      <c r="A19" t="s">
        <v>70</v>
      </c>
      <c r="B19">
        <v>2018</v>
      </c>
      <c r="C19" t="s">
        <v>7</v>
      </c>
      <c r="D19" t="s">
        <v>9</v>
      </c>
      <c r="E19">
        <v>5</v>
      </c>
    </row>
    <row r="20" spans="1:5" x14ac:dyDescent="0.25">
      <c r="A20" t="s">
        <v>70</v>
      </c>
      <c r="B20">
        <v>2018</v>
      </c>
      <c r="C20" t="s">
        <v>7</v>
      </c>
      <c r="D20" t="s">
        <v>10</v>
      </c>
      <c r="E20">
        <v>1</v>
      </c>
    </row>
    <row r="21" spans="1:5" x14ac:dyDescent="0.25">
      <c r="A21" t="s">
        <v>70</v>
      </c>
      <c r="B21">
        <v>2018</v>
      </c>
      <c r="C21" t="s">
        <v>7</v>
      </c>
      <c r="D21" t="s">
        <v>11</v>
      </c>
      <c r="E21">
        <v>1</v>
      </c>
    </row>
    <row r="22" spans="1:5" x14ac:dyDescent="0.25">
      <c r="A22" t="s">
        <v>70</v>
      </c>
      <c r="B22">
        <v>2018</v>
      </c>
      <c r="C22" t="s">
        <v>8</v>
      </c>
      <c r="D22" t="s">
        <v>5</v>
      </c>
      <c r="E22">
        <v>1</v>
      </c>
    </row>
    <row r="23" spans="1:5" x14ac:dyDescent="0.25">
      <c r="A23" t="s">
        <v>70</v>
      </c>
      <c r="B23">
        <v>2018</v>
      </c>
      <c r="C23" t="s">
        <v>8</v>
      </c>
      <c r="D23" t="s">
        <v>6</v>
      </c>
      <c r="E23">
        <v>1</v>
      </c>
    </row>
    <row r="24" spans="1:5" x14ac:dyDescent="0.25">
      <c r="A24" t="s">
        <v>70</v>
      </c>
      <c r="B24">
        <v>2018</v>
      </c>
      <c r="C24" t="s">
        <v>8</v>
      </c>
      <c r="D24" t="s">
        <v>7</v>
      </c>
      <c r="E24">
        <v>9</v>
      </c>
    </row>
    <row r="25" spans="1:5" x14ac:dyDescent="0.25">
      <c r="A25" t="s">
        <v>70</v>
      </c>
      <c r="B25">
        <v>2018</v>
      </c>
      <c r="C25" t="s">
        <v>8</v>
      </c>
      <c r="D25" t="s">
        <v>8</v>
      </c>
      <c r="E25">
        <v>9</v>
      </c>
    </row>
    <row r="26" spans="1:5" x14ac:dyDescent="0.25">
      <c r="A26" t="s">
        <v>70</v>
      </c>
      <c r="B26">
        <v>2018</v>
      </c>
      <c r="C26" t="s">
        <v>8</v>
      </c>
      <c r="D26" t="s">
        <v>9</v>
      </c>
      <c r="E26">
        <v>2</v>
      </c>
    </row>
    <row r="27" spans="1:5" x14ac:dyDescent="0.25">
      <c r="A27" t="s">
        <v>70</v>
      </c>
      <c r="B27">
        <v>2018</v>
      </c>
      <c r="C27" t="s">
        <v>8</v>
      </c>
      <c r="D27" t="s">
        <v>10</v>
      </c>
      <c r="E27">
        <v>2</v>
      </c>
    </row>
    <row r="28" spans="1:5" x14ac:dyDescent="0.25">
      <c r="A28" t="s">
        <v>70</v>
      </c>
      <c r="B28">
        <v>2018</v>
      </c>
      <c r="C28" t="s">
        <v>9</v>
      </c>
      <c r="D28" t="s">
        <v>7</v>
      </c>
      <c r="E28">
        <v>1</v>
      </c>
    </row>
    <row r="29" spans="1:5" x14ac:dyDescent="0.25">
      <c r="A29" t="s">
        <v>70</v>
      </c>
      <c r="B29">
        <v>2018</v>
      </c>
      <c r="C29" t="s">
        <v>9</v>
      </c>
      <c r="D29" t="s">
        <v>8</v>
      </c>
      <c r="E29">
        <v>4</v>
      </c>
    </row>
    <row r="30" spans="1:5" x14ac:dyDescent="0.25">
      <c r="A30" t="s">
        <v>70</v>
      </c>
      <c r="B30">
        <v>2018</v>
      </c>
      <c r="C30" t="s">
        <v>9</v>
      </c>
      <c r="D30" t="s">
        <v>9</v>
      </c>
      <c r="E30">
        <v>4</v>
      </c>
    </row>
    <row r="31" spans="1:5" x14ac:dyDescent="0.25">
      <c r="A31" t="s">
        <v>70</v>
      </c>
      <c r="B31">
        <v>2018</v>
      </c>
      <c r="C31" t="s">
        <v>9</v>
      </c>
      <c r="D31" t="s">
        <v>10</v>
      </c>
      <c r="E31">
        <v>3</v>
      </c>
    </row>
    <row r="32" spans="1:5" x14ac:dyDescent="0.25">
      <c r="A32" t="s">
        <v>70</v>
      </c>
      <c r="B32">
        <v>2018</v>
      </c>
      <c r="C32" t="s">
        <v>9</v>
      </c>
      <c r="D32" t="s">
        <v>11</v>
      </c>
      <c r="E32">
        <v>2</v>
      </c>
    </row>
    <row r="33" spans="1:5" x14ac:dyDescent="0.25">
      <c r="A33" t="s">
        <v>70</v>
      </c>
      <c r="B33">
        <v>2018</v>
      </c>
      <c r="C33" t="s">
        <v>10</v>
      </c>
      <c r="D33" t="s">
        <v>3</v>
      </c>
      <c r="E33">
        <v>1</v>
      </c>
    </row>
    <row r="34" spans="1:5" x14ac:dyDescent="0.25">
      <c r="A34" t="s">
        <v>70</v>
      </c>
      <c r="B34">
        <v>2018</v>
      </c>
      <c r="C34" t="s">
        <v>10</v>
      </c>
      <c r="D34" t="s">
        <v>9</v>
      </c>
      <c r="E34">
        <v>2</v>
      </c>
    </row>
    <row r="35" spans="1:5" x14ac:dyDescent="0.25">
      <c r="A35" t="s">
        <v>70</v>
      </c>
      <c r="B35">
        <v>2018</v>
      </c>
      <c r="C35" t="s">
        <v>10</v>
      </c>
      <c r="D35" t="s">
        <v>11</v>
      </c>
      <c r="E35">
        <v>2</v>
      </c>
    </row>
    <row r="36" spans="1:5" x14ac:dyDescent="0.25">
      <c r="A36" t="s">
        <v>70</v>
      </c>
      <c r="B36">
        <v>2018</v>
      </c>
      <c r="C36" t="s">
        <v>11</v>
      </c>
      <c r="D36" t="s">
        <v>10</v>
      </c>
      <c r="E36">
        <v>2</v>
      </c>
    </row>
    <row r="37" spans="1:5" x14ac:dyDescent="0.25">
      <c r="A37" t="s">
        <v>70</v>
      </c>
      <c r="B37">
        <v>2018</v>
      </c>
      <c r="C37" t="s">
        <v>11</v>
      </c>
      <c r="D37" t="s">
        <v>11</v>
      </c>
      <c r="E37">
        <v>3</v>
      </c>
    </row>
    <row r="38" spans="1:5" x14ac:dyDescent="0.25">
      <c r="A38" t="s">
        <v>70</v>
      </c>
      <c r="B38">
        <v>2019</v>
      </c>
      <c r="C38" t="s">
        <v>3</v>
      </c>
      <c r="D38" t="s">
        <v>3</v>
      </c>
      <c r="E38">
        <v>22</v>
      </c>
    </row>
    <row r="39" spans="1:5" x14ac:dyDescent="0.25">
      <c r="A39" t="s">
        <v>70</v>
      </c>
      <c r="B39">
        <v>2019</v>
      </c>
      <c r="C39" t="s">
        <v>3</v>
      </c>
      <c r="D39" t="s">
        <v>5</v>
      </c>
      <c r="E39">
        <v>11</v>
      </c>
    </row>
    <row r="40" spans="1:5" x14ac:dyDescent="0.25">
      <c r="A40" t="s">
        <v>70</v>
      </c>
      <c r="B40">
        <v>2019</v>
      </c>
      <c r="C40" t="s">
        <v>3</v>
      </c>
      <c r="D40" t="s">
        <v>6</v>
      </c>
      <c r="E40">
        <v>4</v>
      </c>
    </row>
    <row r="41" spans="1:5" x14ac:dyDescent="0.25">
      <c r="A41" t="s">
        <v>70</v>
      </c>
      <c r="B41">
        <v>2019</v>
      </c>
      <c r="C41" t="s">
        <v>3</v>
      </c>
      <c r="D41" t="s">
        <v>7</v>
      </c>
      <c r="E41">
        <v>2</v>
      </c>
    </row>
    <row r="42" spans="1:5" x14ac:dyDescent="0.25">
      <c r="A42" t="s">
        <v>70</v>
      </c>
      <c r="B42">
        <v>2019</v>
      </c>
      <c r="C42" t="s">
        <v>5</v>
      </c>
      <c r="D42" t="s">
        <v>3</v>
      </c>
      <c r="E42">
        <v>11</v>
      </c>
    </row>
    <row r="43" spans="1:5" x14ac:dyDescent="0.25">
      <c r="A43" t="s">
        <v>70</v>
      </c>
      <c r="B43">
        <v>2019</v>
      </c>
      <c r="C43" t="s">
        <v>5</v>
      </c>
      <c r="D43" t="s">
        <v>5</v>
      </c>
      <c r="E43">
        <v>24</v>
      </c>
    </row>
    <row r="44" spans="1:5" x14ac:dyDescent="0.25">
      <c r="A44" t="s">
        <v>70</v>
      </c>
      <c r="B44">
        <v>2019</v>
      </c>
      <c r="C44" t="s">
        <v>5</v>
      </c>
      <c r="D44" t="s">
        <v>6</v>
      </c>
      <c r="E44">
        <v>20</v>
      </c>
    </row>
    <row r="45" spans="1:5" x14ac:dyDescent="0.25">
      <c r="A45" t="s">
        <v>70</v>
      </c>
      <c r="B45">
        <v>2019</v>
      </c>
      <c r="C45" t="s">
        <v>5</v>
      </c>
      <c r="D45" t="s">
        <v>7</v>
      </c>
      <c r="E45">
        <v>11</v>
      </c>
    </row>
    <row r="46" spans="1:5" x14ac:dyDescent="0.25">
      <c r="A46" t="s">
        <v>70</v>
      </c>
      <c r="B46">
        <v>2019</v>
      </c>
      <c r="C46" t="s">
        <v>6</v>
      </c>
      <c r="D46" t="s">
        <v>3</v>
      </c>
      <c r="E46">
        <v>8</v>
      </c>
    </row>
    <row r="47" spans="1:5" x14ac:dyDescent="0.25">
      <c r="A47" t="s">
        <v>70</v>
      </c>
      <c r="B47">
        <v>2019</v>
      </c>
      <c r="C47" t="s">
        <v>6</v>
      </c>
      <c r="D47" t="s">
        <v>5</v>
      </c>
      <c r="E47">
        <v>30</v>
      </c>
    </row>
    <row r="48" spans="1:5" x14ac:dyDescent="0.25">
      <c r="A48" t="s">
        <v>70</v>
      </c>
      <c r="B48">
        <v>2019</v>
      </c>
      <c r="C48" t="s">
        <v>6</v>
      </c>
      <c r="D48" t="s">
        <v>6</v>
      </c>
      <c r="E48">
        <v>53</v>
      </c>
    </row>
    <row r="49" spans="1:5" x14ac:dyDescent="0.25">
      <c r="A49" t="s">
        <v>70</v>
      </c>
      <c r="B49">
        <v>2019</v>
      </c>
      <c r="C49" t="s">
        <v>6</v>
      </c>
      <c r="D49" t="s">
        <v>7</v>
      </c>
      <c r="E49">
        <v>32</v>
      </c>
    </row>
    <row r="50" spans="1:5" x14ac:dyDescent="0.25">
      <c r="A50" t="s">
        <v>70</v>
      </c>
      <c r="B50">
        <v>2019</v>
      </c>
      <c r="C50" t="s">
        <v>6</v>
      </c>
      <c r="D50" t="s">
        <v>8</v>
      </c>
      <c r="E50">
        <v>4</v>
      </c>
    </row>
    <row r="51" spans="1:5" x14ac:dyDescent="0.25">
      <c r="A51" t="s">
        <v>70</v>
      </c>
      <c r="B51">
        <v>2019</v>
      </c>
      <c r="C51" t="s">
        <v>7</v>
      </c>
      <c r="D51" t="s">
        <v>3</v>
      </c>
      <c r="E51">
        <v>1</v>
      </c>
    </row>
    <row r="52" spans="1:5" x14ac:dyDescent="0.25">
      <c r="A52" t="s">
        <v>70</v>
      </c>
      <c r="B52">
        <v>2019</v>
      </c>
      <c r="C52" t="s">
        <v>7</v>
      </c>
      <c r="D52" t="s">
        <v>5</v>
      </c>
      <c r="E52">
        <v>12</v>
      </c>
    </row>
    <row r="53" spans="1:5" x14ac:dyDescent="0.25">
      <c r="A53" t="s">
        <v>70</v>
      </c>
      <c r="B53">
        <v>2019</v>
      </c>
      <c r="C53" t="s">
        <v>7</v>
      </c>
      <c r="D53" t="s">
        <v>6</v>
      </c>
      <c r="E53">
        <v>55</v>
      </c>
    </row>
    <row r="54" spans="1:5" x14ac:dyDescent="0.25">
      <c r="A54" t="s">
        <v>70</v>
      </c>
      <c r="B54">
        <v>2019</v>
      </c>
      <c r="C54" t="s">
        <v>7</v>
      </c>
      <c r="D54" t="s">
        <v>7</v>
      </c>
      <c r="E54">
        <v>140</v>
      </c>
    </row>
    <row r="55" spans="1:5" x14ac:dyDescent="0.25">
      <c r="A55" t="s">
        <v>70</v>
      </c>
      <c r="B55">
        <v>2019</v>
      </c>
      <c r="C55" t="s">
        <v>7</v>
      </c>
      <c r="D55" t="s">
        <v>8</v>
      </c>
      <c r="E55">
        <v>32</v>
      </c>
    </row>
    <row r="56" spans="1:5" x14ac:dyDescent="0.25">
      <c r="A56" t="s">
        <v>70</v>
      </c>
      <c r="B56">
        <v>2019</v>
      </c>
      <c r="C56" t="s">
        <v>7</v>
      </c>
      <c r="D56" t="s">
        <v>9</v>
      </c>
      <c r="E56">
        <v>6</v>
      </c>
    </row>
    <row r="57" spans="1:5" x14ac:dyDescent="0.25">
      <c r="A57" t="s">
        <v>70</v>
      </c>
      <c r="B57">
        <v>2019</v>
      </c>
      <c r="C57" t="s">
        <v>7</v>
      </c>
      <c r="D57" t="s">
        <v>10</v>
      </c>
      <c r="E57">
        <v>1</v>
      </c>
    </row>
    <row r="58" spans="1:5" x14ac:dyDescent="0.25">
      <c r="A58" t="s">
        <v>70</v>
      </c>
      <c r="B58">
        <v>2019</v>
      </c>
      <c r="C58" t="s">
        <v>7</v>
      </c>
      <c r="D58" t="s">
        <v>11</v>
      </c>
      <c r="E58">
        <v>1</v>
      </c>
    </row>
    <row r="59" spans="1:5" x14ac:dyDescent="0.25">
      <c r="A59" t="s">
        <v>70</v>
      </c>
      <c r="B59">
        <v>2019</v>
      </c>
      <c r="C59" t="s">
        <v>8</v>
      </c>
      <c r="D59" t="s">
        <v>5</v>
      </c>
      <c r="E59">
        <v>4</v>
      </c>
    </row>
    <row r="60" spans="1:5" x14ac:dyDescent="0.25">
      <c r="A60" t="s">
        <v>70</v>
      </c>
      <c r="B60">
        <v>2019</v>
      </c>
      <c r="C60" t="s">
        <v>8</v>
      </c>
      <c r="D60" t="s">
        <v>6</v>
      </c>
      <c r="E60">
        <v>3</v>
      </c>
    </row>
    <row r="61" spans="1:5" x14ac:dyDescent="0.25">
      <c r="A61" t="s">
        <v>70</v>
      </c>
      <c r="B61">
        <v>2019</v>
      </c>
      <c r="C61" t="s">
        <v>8</v>
      </c>
      <c r="D61" t="s">
        <v>7</v>
      </c>
      <c r="E61">
        <v>42</v>
      </c>
    </row>
    <row r="62" spans="1:5" x14ac:dyDescent="0.25">
      <c r="A62" t="s">
        <v>70</v>
      </c>
      <c r="B62">
        <v>2019</v>
      </c>
      <c r="C62" t="s">
        <v>8</v>
      </c>
      <c r="D62" t="s">
        <v>8</v>
      </c>
      <c r="E62">
        <v>38</v>
      </c>
    </row>
    <row r="63" spans="1:5" x14ac:dyDescent="0.25">
      <c r="A63" t="s">
        <v>70</v>
      </c>
      <c r="B63">
        <v>2019</v>
      </c>
      <c r="C63" t="s">
        <v>8</v>
      </c>
      <c r="D63" t="s">
        <v>9</v>
      </c>
      <c r="E63">
        <v>13</v>
      </c>
    </row>
    <row r="64" spans="1:5" x14ac:dyDescent="0.25">
      <c r="A64" t="s">
        <v>70</v>
      </c>
      <c r="B64">
        <v>2019</v>
      </c>
      <c r="C64" t="s">
        <v>9</v>
      </c>
      <c r="D64" t="s">
        <v>5</v>
      </c>
      <c r="E64">
        <v>1</v>
      </c>
    </row>
    <row r="65" spans="1:5" x14ac:dyDescent="0.25">
      <c r="A65" t="s">
        <v>70</v>
      </c>
      <c r="B65">
        <v>2019</v>
      </c>
      <c r="C65" t="s">
        <v>9</v>
      </c>
      <c r="D65" t="s">
        <v>6</v>
      </c>
      <c r="E65">
        <v>1</v>
      </c>
    </row>
    <row r="66" spans="1:5" x14ac:dyDescent="0.25">
      <c r="A66" t="s">
        <v>70</v>
      </c>
      <c r="B66">
        <v>2019</v>
      </c>
      <c r="C66" t="s">
        <v>9</v>
      </c>
      <c r="D66" t="s">
        <v>7</v>
      </c>
      <c r="E66">
        <v>9</v>
      </c>
    </row>
    <row r="67" spans="1:5" x14ac:dyDescent="0.25">
      <c r="A67" t="s">
        <v>70</v>
      </c>
      <c r="B67">
        <v>2019</v>
      </c>
      <c r="C67" t="s">
        <v>9</v>
      </c>
      <c r="D67" t="s">
        <v>8</v>
      </c>
      <c r="E67">
        <v>11</v>
      </c>
    </row>
    <row r="68" spans="1:5" x14ac:dyDescent="0.25">
      <c r="A68" t="s">
        <v>70</v>
      </c>
      <c r="B68">
        <v>2019</v>
      </c>
      <c r="C68" t="s">
        <v>9</v>
      </c>
      <c r="D68" t="s">
        <v>9</v>
      </c>
      <c r="E68">
        <v>19</v>
      </c>
    </row>
    <row r="69" spans="1:5" x14ac:dyDescent="0.25">
      <c r="A69" t="s">
        <v>70</v>
      </c>
      <c r="B69">
        <v>2019</v>
      </c>
      <c r="C69" t="s">
        <v>9</v>
      </c>
      <c r="D69" t="s">
        <v>10</v>
      </c>
      <c r="E69">
        <v>5</v>
      </c>
    </row>
    <row r="70" spans="1:5" x14ac:dyDescent="0.25">
      <c r="A70" t="s">
        <v>70</v>
      </c>
      <c r="B70">
        <v>2019</v>
      </c>
      <c r="C70" t="s">
        <v>9</v>
      </c>
      <c r="D70" t="s">
        <v>71</v>
      </c>
      <c r="E70">
        <v>1</v>
      </c>
    </row>
    <row r="71" spans="1:5" x14ac:dyDescent="0.25">
      <c r="A71" t="s">
        <v>70</v>
      </c>
      <c r="B71">
        <v>2019</v>
      </c>
      <c r="C71" t="s">
        <v>10</v>
      </c>
      <c r="D71" t="s">
        <v>9</v>
      </c>
      <c r="E71">
        <v>5</v>
      </c>
    </row>
    <row r="72" spans="1:5" x14ac:dyDescent="0.25">
      <c r="A72" t="s">
        <v>70</v>
      </c>
      <c r="B72">
        <v>2019</v>
      </c>
      <c r="C72" t="s">
        <v>10</v>
      </c>
      <c r="D72" t="s">
        <v>10</v>
      </c>
      <c r="E72">
        <v>6</v>
      </c>
    </row>
    <row r="73" spans="1:5" x14ac:dyDescent="0.25">
      <c r="A73" t="s">
        <v>70</v>
      </c>
      <c r="B73">
        <v>2019</v>
      </c>
      <c r="C73" t="s">
        <v>10</v>
      </c>
      <c r="D73" t="s">
        <v>11</v>
      </c>
      <c r="E73">
        <v>4</v>
      </c>
    </row>
    <row r="74" spans="1:5" x14ac:dyDescent="0.25">
      <c r="A74" t="s">
        <v>70</v>
      </c>
      <c r="B74">
        <v>2019</v>
      </c>
      <c r="C74" t="s">
        <v>11</v>
      </c>
      <c r="D74" t="s">
        <v>9</v>
      </c>
      <c r="E74">
        <v>1</v>
      </c>
    </row>
    <row r="75" spans="1:5" x14ac:dyDescent="0.25">
      <c r="A75" t="s">
        <v>70</v>
      </c>
      <c r="B75">
        <v>2019</v>
      </c>
      <c r="C75" t="s">
        <v>11</v>
      </c>
      <c r="D75" t="s">
        <v>10</v>
      </c>
      <c r="E75">
        <v>3</v>
      </c>
    </row>
    <row r="76" spans="1:5" x14ac:dyDescent="0.25">
      <c r="A76" t="s">
        <v>70</v>
      </c>
      <c r="B76">
        <v>2019</v>
      </c>
      <c r="C76" t="s">
        <v>11</v>
      </c>
      <c r="D76" t="s">
        <v>11</v>
      </c>
      <c r="E76">
        <v>12</v>
      </c>
    </row>
    <row r="77" spans="1:5" x14ac:dyDescent="0.25">
      <c r="A77" t="s">
        <v>70</v>
      </c>
      <c r="B77">
        <v>2020</v>
      </c>
      <c r="C77" t="s">
        <v>3</v>
      </c>
      <c r="D77" t="s">
        <v>3</v>
      </c>
      <c r="E77">
        <v>30</v>
      </c>
    </row>
    <row r="78" spans="1:5" x14ac:dyDescent="0.25">
      <c r="A78" t="s">
        <v>70</v>
      </c>
      <c r="B78">
        <v>2020</v>
      </c>
      <c r="C78" t="s">
        <v>3</v>
      </c>
      <c r="D78" t="s">
        <v>5</v>
      </c>
      <c r="E78">
        <v>5</v>
      </c>
    </row>
    <row r="79" spans="1:5" x14ac:dyDescent="0.25">
      <c r="A79" t="s">
        <v>70</v>
      </c>
      <c r="B79">
        <v>2020</v>
      </c>
      <c r="C79" t="s">
        <v>3</v>
      </c>
      <c r="D79" t="s">
        <v>6</v>
      </c>
      <c r="E79">
        <v>10</v>
      </c>
    </row>
    <row r="80" spans="1:5" x14ac:dyDescent="0.25">
      <c r="A80" t="s">
        <v>70</v>
      </c>
      <c r="B80">
        <v>2020</v>
      </c>
      <c r="C80" t="s">
        <v>3</v>
      </c>
      <c r="D80" t="s">
        <v>7</v>
      </c>
      <c r="E80">
        <v>3</v>
      </c>
    </row>
    <row r="81" spans="1:5" x14ac:dyDescent="0.25">
      <c r="A81" t="s">
        <v>70</v>
      </c>
      <c r="B81">
        <v>2020</v>
      </c>
      <c r="C81" t="s">
        <v>5</v>
      </c>
      <c r="D81" t="s">
        <v>3</v>
      </c>
      <c r="E81">
        <v>24</v>
      </c>
    </row>
    <row r="82" spans="1:5" x14ac:dyDescent="0.25">
      <c r="A82" t="s">
        <v>70</v>
      </c>
      <c r="B82">
        <v>2020</v>
      </c>
      <c r="C82" t="s">
        <v>5</v>
      </c>
      <c r="D82" t="s">
        <v>5</v>
      </c>
      <c r="E82">
        <v>35</v>
      </c>
    </row>
    <row r="83" spans="1:5" x14ac:dyDescent="0.25">
      <c r="A83" t="s">
        <v>70</v>
      </c>
      <c r="B83">
        <v>2020</v>
      </c>
      <c r="C83" t="s">
        <v>5</v>
      </c>
      <c r="D83" t="s">
        <v>6</v>
      </c>
      <c r="E83">
        <v>29</v>
      </c>
    </row>
    <row r="84" spans="1:5" x14ac:dyDescent="0.25">
      <c r="A84" t="s">
        <v>70</v>
      </c>
      <c r="B84">
        <v>2020</v>
      </c>
      <c r="C84" t="s">
        <v>5</v>
      </c>
      <c r="D84" t="s">
        <v>7</v>
      </c>
      <c r="E84">
        <v>7</v>
      </c>
    </row>
    <row r="85" spans="1:5" x14ac:dyDescent="0.25">
      <c r="A85" t="s">
        <v>70</v>
      </c>
      <c r="B85">
        <v>2020</v>
      </c>
      <c r="C85" t="s">
        <v>6</v>
      </c>
      <c r="D85" t="s">
        <v>3</v>
      </c>
      <c r="E85">
        <v>9</v>
      </c>
    </row>
    <row r="86" spans="1:5" x14ac:dyDescent="0.25">
      <c r="A86" t="s">
        <v>70</v>
      </c>
      <c r="B86">
        <v>2020</v>
      </c>
      <c r="C86" t="s">
        <v>6</v>
      </c>
      <c r="D86" t="s">
        <v>5</v>
      </c>
      <c r="E86">
        <v>31</v>
      </c>
    </row>
    <row r="87" spans="1:5" x14ac:dyDescent="0.25">
      <c r="A87" t="s">
        <v>70</v>
      </c>
      <c r="B87">
        <v>2020</v>
      </c>
      <c r="C87" t="s">
        <v>6</v>
      </c>
      <c r="D87" t="s">
        <v>6</v>
      </c>
      <c r="E87">
        <v>85</v>
      </c>
    </row>
    <row r="88" spans="1:5" x14ac:dyDescent="0.25">
      <c r="A88" t="s">
        <v>70</v>
      </c>
      <c r="B88">
        <v>2020</v>
      </c>
      <c r="C88" t="s">
        <v>6</v>
      </c>
      <c r="D88" t="s">
        <v>7</v>
      </c>
      <c r="E88">
        <v>40</v>
      </c>
    </row>
    <row r="89" spans="1:5" x14ac:dyDescent="0.25">
      <c r="A89" t="s">
        <v>70</v>
      </c>
      <c r="B89">
        <v>2020</v>
      </c>
      <c r="C89" t="s">
        <v>6</v>
      </c>
      <c r="D89" t="s">
        <v>8</v>
      </c>
      <c r="E89">
        <v>2</v>
      </c>
    </row>
    <row r="90" spans="1:5" x14ac:dyDescent="0.25">
      <c r="A90" t="s">
        <v>70</v>
      </c>
      <c r="B90">
        <v>2020</v>
      </c>
      <c r="C90" t="s">
        <v>7</v>
      </c>
      <c r="D90" t="s">
        <v>3</v>
      </c>
      <c r="E90">
        <v>2</v>
      </c>
    </row>
    <row r="91" spans="1:5" x14ac:dyDescent="0.25">
      <c r="A91" t="s">
        <v>70</v>
      </c>
      <c r="B91">
        <v>2020</v>
      </c>
      <c r="C91" t="s">
        <v>7</v>
      </c>
      <c r="D91" t="s">
        <v>5</v>
      </c>
      <c r="E91">
        <v>21</v>
      </c>
    </row>
    <row r="92" spans="1:5" x14ac:dyDescent="0.25">
      <c r="A92" t="s">
        <v>70</v>
      </c>
      <c r="B92">
        <v>2020</v>
      </c>
      <c r="C92" t="s">
        <v>7</v>
      </c>
      <c r="D92" t="s">
        <v>6</v>
      </c>
      <c r="E92">
        <v>66</v>
      </c>
    </row>
    <row r="93" spans="1:5" x14ac:dyDescent="0.25">
      <c r="A93" t="s">
        <v>70</v>
      </c>
      <c r="B93">
        <v>2020</v>
      </c>
      <c r="C93" t="s">
        <v>7</v>
      </c>
      <c r="D93" t="s">
        <v>7</v>
      </c>
      <c r="E93">
        <v>172</v>
      </c>
    </row>
    <row r="94" spans="1:5" x14ac:dyDescent="0.25">
      <c r="A94" t="s">
        <v>70</v>
      </c>
      <c r="B94">
        <v>2020</v>
      </c>
      <c r="C94" t="s">
        <v>7</v>
      </c>
      <c r="D94" t="s">
        <v>8</v>
      </c>
      <c r="E94">
        <v>27</v>
      </c>
    </row>
    <row r="95" spans="1:5" x14ac:dyDescent="0.25">
      <c r="A95" t="s">
        <v>70</v>
      </c>
      <c r="B95">
        <v>2020</v>
      </c>
      <c r="C95" t="s">
        <v>7</v>
      </c>
      <c r="D95" t="s">
        <v>9</v>
      </c>
      <c r="E95">
        <v>3</v>
      </c>
    </row>
    <row r="96" spans="1:5" x14ac:dyDescent="0.25">
      <c r="A96" t="s">
        <v>70</v>
      </c>
      <c r="B96">
        <v>2020</v>
      </c>
      <c r="C96" t="s">
        <v>7</v>
      </c>
      <c r="D96" t="s">
        <v>10</v>
      </c>
      <c r="E96">
        <v>1</v>
      </c>
    </row>
    <row r="97" spans="1:5" x14ac:dyDescent="0.25">
      <c r="A97" t="s">
        <v>70</v>
      </c>
      <c r="B97">
        <v>2020</v>
      </c>
      <c r="C97" t="s">
        <v>7</v>
      </c>
      <c r="D97" t="s">
        <v>11</v>
      </c>
      <c r="E97">
        <v>3</v>
      </c>
    </row>
    <row r="98" spans="1:5" x14ac:dyDescent="0.25">
      <c r="A98" t="s">
        <v>70</v>
      </c>
      <c r="B98">
        <v>2020</v>
      </c>
      <c r="C98" t="s">
        <v>8</v>
      </c>
      <c r="D98" t="s">
        <v>5</v>
      </c>
      <c r="E98">
        <v>1</v>
      </c>
    </row>
    <row r="99" spans="1:5" x14ac:dyDescent="0.25">
      <c r="A99" t="s">
        <v>70</v>
      </c>
      <c r="B99">
        <v>2020</v>
      </c>
      <c r="C99" t="s">
        <v>8</v>
      </c>
      <c r="D99" t="s">
        <v>6</v>
      </c>
      <c r="E99">
        <v>8</v>
      </c>
    </row>
    <row r="100" spans="1:5" x14ac:dyDescent="0.25">
      <c r="A100" t="s">
        <v>70</v>
      </c>
      <c r="B100">
        <v>2020</v>
      </c>
      <c r="C100" t="s">
        <v>8</v>
      </c>
      <c r="D100" t="s">
        <v>7</v>
      </c>
      <c r="E100">
        <v>36</v>
      </c>
    </row>
    <row r="101" spans="1:5" x14ac:dyDescent="0.25">
      <c r="A101" t="s">
        <v>70</v>
      </c>
      <c r="B101">
        <v>2020</v>
      </c>
      <c r="C101" t="s">
        <v>8</v>
      </c>
      <c r="D101" t="s">
        <v>8</v>
      </c>
      <c r="E101">
        <v>39</v>
      </c>
    </row>
    <row r="102" spans="1:5" x14ac:dyDescent="0.25">
      <c r="A102" t="s">
        <v>70</v>
      </c>
      <c r="B102">
        <v>2020</v>
      </c>
      <c r="C102" t="s">
        <v>8</v>
      </c>
      <c r="D102" t="s">
        <v>9</v>
      </c>
      <c r="E102">
        <v>17</v>
      </c>
    </row>
    <row r="103" spans="1:5" x14ac:dyDescent="0.25">
      <c r="A103" t="s">
        <v>70</v>
      </c>
      <c r="B103">
        <v>2020</v>
      </c>
      <c r="C103" t="s">
        <v>8</v>
      </c>
      <c r="D103" t="s">
        <v>10</v>
      </c>
      <c r="E103">
        <v>2</v>
      </c>
    </row>
    <row r="104" spans="1:5" x14ac:dyDescent="0.25">
      <c r="A104" t="s">
        <v>70</v>
      </c>
      <c r="B104">
        <v>2020</v>
      </c>
      <c r="C104" t="s">
        <v>8</v>
      </c>
      <c r="D104" t="s">
        <v>11</v>
      </c>
      <c r="E104">
        <v>1</v>
      </c>
    </row>
    <row r="105" spans="1:5" x14ac:dyDescent="0.25">
      <c r="A105" t="s">
        <v>70</v>
      </c>
      <c r="B105">
        <v>2020</v>
      </c>
      <c r="C105" t="s">
        <v>9</v>
      </c>
      <c r="D105" t="s">
        <v>6</v>
      </c>
      <c r="E105">
        <v>1</v>
      </c>
    </row>
    <row r="106" spans="1:5" x14ac:dyDescent="0.25">
      <c r="A106" t="s">
        <v>70</v>
      </c>
      <c r="B106">
        <v>2020</v>
      </c>
      <c r="C106" t="s">
        <v>9</v>
      </c>
      <c r="D106" t="s">
        <v>7</v>
      </c>
      <c r="E106">
        <v>3</v>
      </c>
    </row>
    <row r="107" spans="1:5" x14ac:dyDescent="0.25">
      <c r="A107" t="s">
        <v>70</v>
      </c>
      <c r="B107">
        <v>2020</v>
      </c>
      <c r="C107" t="s">
        <v>9</v>
      </c>
      <c r="D107" t="s">
        <v>8</v>
      </c>
      <c r="E107">
        <v>21</v>
      </c>
    </row>
    <row r="108" spans="1:5" x14ac:dyDescent="0.25">
      <c r="A108" t="s">
        <v>70</v>
      </c>
      <c r="B108">
        <v>2020</v>
      </c>
      <c r="C108" t="s">
        <v>9</v>
      </c>
      <c r="D108" t="s">
        <v>9</v>
      </c>
      <c r="E108">
        <v>13</v>
      </c>
    </row>
    <row r="109" spans="1:5" x14ac:dyDescent="0.25">
      <c r="A109" t="s">
        <v>70</v>
      </c>
      <c r="B109">
        <v>2020</v>
      </c>
      <c r="C109" t="s">
        <v>9</v>
      </c>
      <c r="D109" t="s">
        <v>10</v>
      </c>
      <c r="E109">
        <v>8</v>
      </c>
    </row>
    <row r="110" spans="1:5" x14ac:dyDescent="0.25">
      <c r="A110" t="s">
        <v>70</v>
      </c>
      <c r="B110">
        <v>2020</v>
      </c>
      <c r="C110" t="s">
        <v>9</v>
      </c>
      <c r="D110" t="s">
        <v>11</v>
      </c>
      <c r="E110">
        <v>3</v>
      </c>
    </row>
    <row r="111" spans="1:5" x14ac:dyDescent="0.25">
      <c r="A111" t="s">
        <v>70</v>
      </c>
      <c r="B111">
        <v>2020</v>
      </c>
      <c r="C111" t="s">
        <v>10</v>
      </c>
      <c r="D111" t="s">
        <v>8</v>
      </c>
      <c r="E111">
        <v>1</v>
      </c>
    </row>
    <row r="112" spans="1:5" x14ac:dyDescent="0.25">
      <c r="A112" t="s">
        <v>70</v>
      </c>
      <c r="B112">
        <v>2020</v>
      </c>
      <c r="C112" t="s">
        <v>10</v>
      </c>
      <c r="D112" t="s">
        <v>9</v>
      </c>
      <c r="E112">
        <v>5</v>
      </c>
    </row>
    <row r="113" spans="1:5" x14ac:dyDescent="0.25">
      <c r="A113" t="s">
        <v>70</v>
      </c>
      <c r="B113">
        <v>2020</v>
      </c>
      <c r="C113" t="s">
        <v>10</v>
      </c>
      <c r="D113" t="s">
        <v>10</v>
      </c>
      <c r="E113">
        <v>6</v>
      </c>
    </row>
    <row r="114" spans="1:5" x14ac:dyDescent="0.25">
      <c r="A114" t="s">
        <v>70</v>
      </c>
      <c r="B114">
        <v>2020</v>
      </c>
      <c r="C114" t="s">
        <v>10</v>
      </c>
      <c r="D114" t="s">
        <v>11</v>
      </c>
      <c r="E114">
        <v>2</v>
      </c>
    </row>
    <row r="115" spans="1:5" x14ac:dyDescent="0.25">
      <c r="A115" t="s">
        <v>70</v>
      </c>
      <c r="B115">
        <v>2020</v>
      </c>
      <c r="C115" t="s">
        <v>11</v>
      </c>
      <c r="D115" t="s">
        <v>7</v>
      </c>
      <c r="E115">
        <v>1</v>
      </c>
    </row>
    <row r="116" spans="1:5" x14ac:dyDescent="0.25">
      <c r="A116" t="s">
        <v>70</v>
      </c>
      <c r="B116">
        <v>2020</v>
      </c>
      <c r="C116" t="s">
        <v>11</v>
      </c>
      <c r="D116" t="s">
        <v>9</v>
      </c>
      <c r="E116">
        <v>1</v>
      </c>
    </row>
    <row r="117" spans="1:5" x14ac:dyDescent="0.25">
      <c r="A117" t="s">
        <v>70</v>
      </c>
      <c r="B117">
        <v>2020</v>
      </c>
      <c r="C117" t="s">
        <v>11</v>
      </c>
      <c r="D117" t="s">
        <v>10</v>
      </c>
      <c r="E117">
        <v>3</v>
      </c>
    </row>
    <row r="118" spans="1:5" x14ac:dyDescent="0.25">
      <c r="A118" t="s">
        <v>70</v>
      </c>
      <c r="B118">
        <v>2020</v>
      </c>
      <c r="C118" t="s">
        <v>11</v>
      </c>
      <c r="D118" t="s">
        <v>11</v>
      </c>
      <c r="E118">
        <v>9</v>
      </c>
    </row>
    <row r="119" spans="1:5" x14ac:dyDescent="0.25">
      <c r="A119" t="s">
        <v>70</v>
      </c>
      <c r="B119">
        <v>2020</v>
      </c>
      <c r="C119" t="s">
        <v>11</v>
      </c>
      <c r="D119" t="s">
        <v>71</v>
      </c>
      <c r="E119">
        <v>2</v>
      </c>
    </row>
    <row r="120" spans="1:5" x14ac:dyDescent="0.25">
      <c r="A120" t="s">
        <v>70</v>
      </c>
      <c r="B120">
        <v>2021</v>
      </c>
      <c r="C120" t="s">
        <v>3</v>
      </c>
      <c r="D120" t="s">
        <v>3</v>
      </c>
      <c r="E120">
        <v>31</v>
      </c>
    </row>
    <row r="121" spans="1:5" x14ac:dyDescent="0.25">
      <c r="A121" t="s">
        <v>70</v>
      </c>
      <c r="B121">
        <v>2021</v>
      </c>
      <c r="C121" t="s">
        <v>3</v>
      </c>
      <c r="D121" t="s">
        <v>5</v>
      </c>
      <c r="E121">
        <v>21</v>
      </c>
    </row>
    <row r="122" spans="1:5" x14ac:dyDescent="0.25">
      <c r="A122" t="s">
        <v>70</v>
      </c>
      <c r="B122">
        <v>2021</v>
      </c>
      <c r="C122" t="s">
        <v>3</v>
      </c>
      <c r="D122" t="s">
        <v>6</v>
      </c>
      <c r="E122">
        <v>9</v>
      </c>
    </row>
    <row r="123" spans="1:5" x14ac:dyDescent="0.25">
      <c r="A123" t="s">
        <v>70</v>
      </c>
      <c r="B123">
        <v>2021</v>
      </c>
      <c r="C123" t="s">
        <v>3</v>
      </c>
      <c r="D123" t="s">
        <v>7</v>
      </c>
      <c r="E123">
        <v>3</v>
      </c>
    </row>
    <row r="124" spans="1:5" x14ac:dyDescent="0.25">
      <c r="A124" t="s">
        <v>70</v>
      </c>
      <c r="B124">
        <v>2021</v>
      </c>
      <c r="C124" t="s">
        <v>3</v>
      </c>
      <c r="D124" t="s">
        <v>8</v>
      </c>
      <c r="E124">
        <v>1</v>
      </c>
    </row>
    <row r="125" spans="1:5" x14ac:dyDescent="0.25">
      <c r="A125" t="s">
        <v>70</v>
      </c>
      <c r="B125">
        <v>2021</v>
      </c>
      <c r="C125" t="s">
        <v>5</v>
      </c>
      <c r="D125" t="s">
        <v>3</v>
      </c>
      <c r="E125">
        <v>17</v>
      </c>
    </row>
    <row r="126" spans="1:5" x14ac:dyDescent="0.25">
      <c r="A126" t="s">
        <v>70</v>
      </c>
      <c r="B126">
        <v>2021</v>
      </c>
      <c r="C126" t="s">
        <v>5</v>
      </c>
      <c r="D126" t="s">
        <v>5</v>
      </c>
      <c r="E126">
        <v>30</v>
      </c>
    </row>
    <row r="127" spans="1:5" x14ac:dyDescent="0.25">
      <c r="A127" t="s">
        <v>70</v>
      </c>
      <c r="B127">
        <v>2021</v>
      </c>
      <c r="C127" t="s">
        <v>5</v>
      </c>
      <c r="D127" t="s">
        <v>6</v>
      </c>
      <c r="E127">
        <v>46</v>
      </c>
    </row>
    <row r="128" spans="1:5" x14ac:dyDescent="0.25">
      <c r="A128" t="s">
        <v>70</v>
      </c>
      <c r="B128">
        <v>2021</v>
      </c>
      <c r="C128" t="s">
        <v>5</v>
      </c>
      <c r="D128" t="s">
        <v>7</v>
      </c>
      <c r="E128">
        <v>14</v>
      </c>
    </row>
    <row r="129" spans="1:5" x14ac:dyDescent="0.25">
      <c r="A129" t="s">
        <v>70</v>
      </c>
      <c r="B129">
        <v>2021</v>
      </c>
      <c r="C129" t="s">
        <v>6</v>
      </c>
      <c r="D129" t="s">
        <v>3</v>
      </c>
      <c r="E129">
        <v>8</v>
      </c>
    </row>
    <row r="130" spans="1:5" x14ac:dyDescent="0.25">
      <c r="A130" t="s">
        <v>70</v>
      </c>
      <c r="B130">
        <v>2021</v>
      </c>
      <c r="C130" t="s">
        <v>6</v>
      </c>
      <c r="D130" t="s">
        <v>5</v>
      </c>
      <c r="E130">
        <v>46</v>
      </c>
    </row>
    <row r="131" spans="1:5" x14ac:dyDescent="0.25">
      <c r="A131" t="s">
        <v>70</v>
      </c>
      <c r="B131">
        <v>2021</v>
      </c>
      <c r="C131" t="s">
        <v>6</v>
      </c>
      <c r="D131" t="s">
        <v>6</v>
      </c>
      <c r="E131">
        <v>97</v>
      </c>
    </row>
    <row r="132" spans="1:5" x14ac:dyDescent="0.25">
      <c r="A132" t="s">
        <v>70</v>
      </c>
      <c r="B132">
        <v>2021</v>
      </c>
      <c r="C132" t="s">
        <v>6</v>
      </c>
      <c r="D132" t="s">
        <v>7</v>
      </c>
      <c r="E132">
        <v>55</v>
      </c>
    </row>
    <row r="133" spans="1:5" x14ac:dyDescent="0.25">
      <c r="A133" t="s">
        <v>70</v>
      </c>
      <c r="B133">
        <v>2021</v>
      </c>
      <c r="C133" t="s">
        <v>6</v>
      </c>
      <c r="D133" t="s">
        <v>8</v>
      </c>
      <c r="E133">
        <v>9</v>
      </c>
    </row>
    <row r="134" spans="1:5" x14ac:dyDescent="0.25">
      <c r="A134" t="s">
        <v>70</v>
      </c>
      <c r="B134">
        <v>2021</v>
      </c>
      <c r="C134" t="s">
        <v>7</v>
      </c>
      <c r="D134" t="s">
        <v>3</v>
      </c>
      <c r="E134">
        <v>2</v>
      </c>
    </row>
    <row r="135" spans="1:5" x14ac:dyDescent="0.25">
      <c r="A135" t="s">
        <v>70</v>
      </c>
      <c r="B135">
        <v>2021</v>
      </c>
      <c r="C135" t="s">
        <v>7</v>
      </c>
      <c r="D135" t="s">
        <v>5</v>
      </c>
      <c r="E135">
        <v>16</v>
      </c>
    </row>
    <row r="136" spans="1:5" x14ac:dyDescent="0.25">
      <c r="A136" t="s">
        <v>70</v>
      </c>
      <c r="B136">
        <v>2021</v>
      </c>
      <c r="C136" t="s">
        <v>7</v>
      </c>
      <c r="D136" t="s">
        <v>6</v>
      </c>
      <c r="E136">
        <v>57</v>
      </c>
    </row>
    <row r="137" spans="1:5" x14ac:dyDescent="0.25">
      <c r="A137" t="s">
        <v>70</v>
      </c>
      <c r="B137">
        <v>2021</v>
      </c>
      <c r="C137" t="s">
        <v>7</v>
      </c>
      <c r="D137" t="s">
        <v>7</v>
      </c>
      <c r="E137">
        <v>146</v>
      </c>
    </row>
    <row r="138" spans="1:5" x14ac:dyDescent="0.25">
      <c r="A138" t="s">
        <v>70</v>
      </c>
      <c r="B138">
        <v>2021</v>
      </c>
      <c r="C138" t="s">
        <v>7</v>
      </c>
      <c r="D138" t="s">
        <v>8</v>
      </c>
      <c r="E138">
        <v>44</v>
      </c>
    </row>
    <row r="139" spans="1:5" x14ac:dyDescent="0.25">
      <c r="A139" t="s">
        <v>70</v>
      </c>
      <c r="B139">
        <v>2021</v>
      </c>
      <c r="C139" t="s">
        <v>7</v>
      </c>
      <c r="D139" t="s">
        <v>9</v>
      </c>
      <c r="E139">
        <v>9</v>
      </c>
    </row>
    <row r="140" spans="1:5" x14ac:dyDescent="0.25">
      <c r="A140" t="s">
        <v>70</v>
      </c>
      <c r="B140">
        <v>2021</v>
      </c>
      <c r="C140" t="s">
        <v>7</v>
      </c>
      <c r="D140" t="s">
        <v>10</v>
      </c>
      <c r="E140">
        <v>1</v>
      </c>
    </row>
    <row r="141" spans="1:5" x14ac:dyDescent="0.25">
      <c r="A141" t="s">
        <v>70</v>
      </c>
      <c r="B141">
        <v>2021</v>
      </c>
      <c r="C141" t="s">
        <v>8</v>
      </c>
      <c r="D141" t="s">
        <v>6</v>
      </c>
      <c r="E141">
        <v>6</v>
      </c>
    </row>
    <row r="142" spans="1:5" x14ac:dyDescent="0.25">
      <c r="A142" t="s">
        <v>70</v>
      </c>
      <c r="B142">
        <v>2021</v>
      </c>
      <c r="C142" t="s">
        <v>8</v>
      </c>
      <c r="D142" t="s">
        <v>7</v>
      </c>
      <c r="E142">
        <v>47</v>
      </c>
    </row>
    <row r="143" spans="1:5" x14ac:dyDescent="0.25">
      <c r="A143" t="s">
        <v>70</v>
      </c>
      <c r="B143">
        <v>2021</v>
      </c>
      <c r="C143" t="s">
        <v>8</v>
      </c>
      <c r="D143" t="s">
        <v>8</v>
      </c>
      <c r="E143">
        <v>23</v>
      </c>
    </row>
    <row r="144" spans="1:5" x14ac:dyDescent="0.25">
      <c r="A144" t="s">
        <v>70</v>
      </c>
      <c r="B144">
        <v>2021</v>
      </c>
      <c r="C144" t="s">
        <v>8</v>
      </c>
      <c r="D144" t="s">
        <v>9</v>
      </c>
      <c r="E144">
        <v>11</v>
      </c>
    </row>
    <row r="145" spans="1:5" x14ac:dyDescent="0.25">
      <c r="A145" t="s">
        <v>70</v>
      </c>
      <c r="B145">
        <v>2021</v>
      </c>
      <c r="C145" t="s">
        <v>8</v>
      </c>
      <c r="D145" t="s">
        <v>10</v>
      </c>
      <c r="E145">
        <v>2</v>
      </c>
    </row>
    <row r="146" spans="1:5" x14ac:dyDescent="0.25">
      <c r="A146" t="s">
        <v>70</v>
      </c>
      <c r="B146">
        <v>2021</v>
      </c>
      <c r="C146" t="s">
        <v>8</v>
      </c>
      <c r="D146" t="s">
        <v>11</v>
      </c>
      <c r="E146">
        <v>1</v>
      </c>
    </row>
    <row r="147" spans="1:5" x14ac:dyDescent="0.25">
      <c r="A147" t="s">
        <v>70</v>
      </c>
      <c r="B147">
        <v>2021</v>
      </c>
      <c r="C147" t="s">
        <v>9</v>
      </c>
      <c r="D147" t="s">
        <v>7</v>
      </c>
      <c r="E147">
        <v>6</v>
      </c>
    </row>
    <row r="148" spans="1:5" x14ac:dyDescent="0.25">
      <c r="A148" t="s">
        <v>70</v>
      </c>
      <c r="B148">
        <v>2021</v>
      </c>
      <c r="C148" t="s">
        <v>9</v>
      </c>
      <c r="D148" t="s">
        <v>8</v>
      </c>
      <c r="E148">
        <v>11</v>
      </c>
    </row>
    <row r="149" spans="1:5" x14ac:dyDescent="0.25">
      <c r="A149" t="s">
        <v>70</v>
      </c>
      <c r="B149">
        <v>2021</v>
      </c>
      <c r="C149" t="s">
        <v>9</v>
      </c>
      <c r="D149" t="s">
        <v>9</v>
      </c>
      <c r="E149">
        <v>15</v>
      </c>
    </row>
    <row r="150" spans="1:5" x14ac:dyDescent="0.25">
      <c r="A150" t="s">
        <v>70</v>
      </c>
      <c r="B150">
        <v>2021</v>
      </c>
      <c r="C150" t="s">
        <v>9</v>
      </c>
      <c r="D150" t="s">
        <v>10</v>
      </c>
      <c r="E150">
        <v>5</v>
      </c>
    </row>
    <row r="151" spans="1:5" x14ac:dyDescent="0.25">
      <c r="A151" t="s">
        <v>70</v>
      </c>
      <c r="B151">
        <v>2021</v>
      </c>
      <c r="C151" t="s">
        <v>9</v>
      </c>
      <c r="D151" t="s">
        <v>11</v>
      </c>
      <c r="E151">
        <v>1</v>
      </c>
    </row>
    <row r="152" spans="1:5" x14ac:dyDescent="0.25">
      <c r="A152" t="s">
        <v>70</v>
      </c>
      <c r="B152">
        <v>2021</v>
      </c>
      <c r="C152" t="s">
        <v>10</v>
      </c>
      <c r="D152" t="s">
        <v>7</v>
      </c>
      <c r="E152">
        <v>1</v>
      </c>
    </row>
    <row r="153" spans="1:5" x14ac:dyDescent="0.25">
      <c r="A153" t="s">
        <v>70</v>
      </c>
      <c r="B153">
        <v>2021</v>
      </c>
      <c r="C153" t="s">
        <v>10</v>
      </c>
      <c r="D153" t="s">
        <v>8</v>
      </c>
      <c r="E153">
        <v>2</v>
      </c>
    </row>
    <row r="154" spans="1:5" x14ac:dyDescent="0.25">
      <c r="A154" t="s">
        <v>70</v>
      </c>
      <c r="B154">
        <v>2021</v>
      </c>
      <c r="C154" t="s">
        <v>10</v>
      </c>
      <c r="D154" t="s">
        <v>9</v>
      </c>
      <c r="E154">
        <v>4</v>
      </c>
    </row>
    <row r="155" spans="1:5" x14ac:dyDescent="0.25">
      <c r="A155" t="s">
        <v>70</v>
      </c>
      <c r="B155">
        <v>2021</v>
      </c>
      <c r="C155" t="s">
        <v>10</v>
      </c>
      <c r="D155" t="s">
        <v>10</v>
      </c>
      <c r="E155">
        <v>7</v>
      </c>
    </row>
    <row r="156" spans="1:5" x14ac:dyDescent="0.25">
      <c r="A156" t="s">
        <v>70</v>
      </c>
      <c r="B156">
        <v>2021</v>
      </c>
      <c r="C156" t="s">
        <v>10</v>
      </c>
      <c r="D156" t="s">
        <v>11</v>
      </c>
      <c r="E156">
        <v>3</v>
      </c>
    </row>
    <row r="157" spans="1:5" x14ac:dyDescent="0.25">
      <c r="A157" t="s">
        <v>70</v>
      </c>
      <c r="B157">
        <v>2021</v>
      </c>
      <c r="C157" t="s">
        <v>11</v>
      </c>
      <c r="D157" t="s">
        <v>6</v>
      </c>
      <c r="E157">
        <v>2</v>
      </c>
    </row>
    <row r="158" spans="1:5" x14ac:dyDescent="0.25">
      <c r="A158" t="s">
        <v>70</v>
      </c>
      <c r="B158">
        <v>2021</v>
      </c>
      <c r="C158" t="s">
        <v>11</v>
      </c>
      <c r="D158" t="s">
        <v>9</v>
      </c>
      <c r="E158">
        <v>2</v>
      </c>
    </row>
    <row r="159" spans="1:5" x14ac:dyDescent="0.25">
      <c r="A159" t="s">
        <v>70</v>
      </c>
      <c r="B159">
        <v>2021</v>
      </c>
      <c r="C159" t="s">
        <v>11</v>
      </c>
      <c r="D159" t="s">
        <v>10</v>
      </c>
      <c r="E159">
        <v>2</v>
      </c>
    </row>
    <row r="160" spans="1:5" x14ac:dyDescent="0.25">
      <c r="A160" t="s">
        <v>70</v>
      </c>
      <c r="B160">
        <v>2021</v>
      </c>
      <c r="C160" t="s">
        <v>11</v>
      </c>
      <c r="D160" t="s">
        <v>11</v>
      </c>
      <c r="E160">
        <v>6</v>
      </c>
    </row>
    <row r="161" spans="1:5" x14ac:dyDescent="0.25">
      <c r="A161" t="s">
        <v>70</v>
      </c>
      <c r="B161">
        <v>2021</v>
      </c>
      <c r="C161" t="s">
        <v>11</v>
      </c>
      <c r="D161" t="s">
        <v>71</v>
      </c>
      <c r="E161">
        <v>1</v>
      </c>
    </row>
    <row r="162" spans="1:5" x14ac:dyDescent="0.25">
      <c r="A162" t="s">
        <v>70</v>
      </c>
      <c r="B162">
        <v>2022</v>
      </c>
      <c r="C162" t="s">
        <v>3</v>
      </c>
      <c r="D162" t="s">
        <v>3</v>
      </c>
      <c r="E162">
        <v>4</v>
      </c>
    </row>
    <row r="163" spans="1:5" x14ac:dyDescent="0.25">
      <c r="A163" t="s">
        <v>70</v>
      </c>
      <c r="B163">
        <v>2022</v>
      </c>
      <c r="C163" t="s">
        <v>3</v>
      </c>
      <c r="D163" t="s">
        <v>5</v>
      </c>
      <c r="E163">
        <v>1</v>
      </c>
    </row>
    <row r="164" spans="1:5" x14ac:dyDescent="0.25">
      <c r="A164" t="s">
        <v>70</v>
      </c>
      <c r="B164">
        <v>2022</v>
      </c>
      <c r="C164" t="s">
        <v>3</v>
      </c>
      <c r="D164" t="s">
        <v>6</v>
      </c>
      <c r="E164">
        <v>1</v>
      </c>
    </row>
    <row r="165" spans="1:5" x14ac:dyDescent="0.25">
      <c r="A165" t="s">
        <v>70</v>
      </c>
      <c r="B165">
        <v>2022</v>
      </c>
      <c r="C165" t="s">
        <v>5</v>
      </c>
      <c r="D165" t="s">
        <v>3</v>
      </c>
      <c r="E165">
        <v>4</v>
      </c>
    </row>
    <row r="166" spans="1:5" x14ac:dyDescent="0.25">
      <c r="A166" t="s">
        <v>70</v>
      </c>
      <c r="B166">
        <v>2022</v>
      </c>
      <c r="C166" t="s">
        <v>5</v>
      </c>
      <c r="D166" t="s">
        <v>5</v>
      </c>
      <c r="E166">
        <v>6</v>
      </c>
    </row>
    <row r="167" spans="1:5" x14ac:dyDescent="0.25">
      <c r="A167" t="s">
        <v>70</v>
      </c>
      <c r="B167">
        <v>2022</v>
      </c>
      <c r="C167" t="s">
        <v>5</v>
      </c>
      <c r="D167" t="s">
        <v>6</v>
      </c>
      <c r="E167">
        <v>3</v>
      </c>
    </row>
    <row r="168" spans="1:5" x14ac:dyDescent="0.25">
      <c r="A168" t="s">
        <v>70</v>
      </c>
      <c r="B168">
        <v>2022</v>
      </c>
      <c r="C168" t="s">
        <v>5</v>
      </c>
      <c r="D168" t="s">
        <v>7</v>
      </c>
      <c r="E168">
        <v>2</v>
      </c>
    </row>
    <row r="169" spans="1:5" x14ac:dyDescent="0.25">
      <c r="A169" t="s">
        <v>70</v>
      </c>
      <c r="B169">
        <v>2022</v>
      </c>
      <c r="C169" t="s">
        <v>6</v>
      </c>
      <c r="D169" t="s">
        <v>5</v>
      </c>
      <c r="E169">
        <v>5</v>
      </c>
    </row>
    <row r="170" spans="1:5" x14ac:dyDescent="0.25">
      <c r="A170" t="s">
        <v>70</v>
      </c>
      <c r="B170">
        <v>2022</v>
      </c>
      <c r="C170" t="s">
        <v>6</v>
      </c>
      <c r="D170" t="s">
        <v>6</v>
      </c>
      <c r="E170">
        <v>15</v>
      </c>
    </row>
    <row r="171" spans="1:5" x14ac:dyDescent="0.25">
      <c r="A171" t="s">
        <v>70</v>
      </c>
      <c r="B171">
        <v>2022</v>
      </c>
      <c r="C171" t="s">
        <v>6</v>
      </c>
      <c r="D171" t="s">
        <v>7</v>
      </c>
      <c r="E171">
        <v>9</v>
      </c>
    </row>
    <row r="172" spans="1:5" x14ac:dyDescent="0.25">
      <c r="A172" t="s">
        <v>70</v>
      </c>
      <c r="B172">
        <v>2022</v>
      </c>
      <c r="C172" t="s">
        <v>7</v>
      </c>
      <c r="D172" t="s">
        <v>3</v>
      </c>
      <c r="E172">
        <v>1</v>
      </c>
    </row>
    <row r="173" spans="1:5" x14ac:dyDescent="0.25">
      <c r="A173" t="s">
        <v>70</v>
      </c>
      <c r="B173">
        <v>2022</v>
      </c>
      <c r="C173" t="s">
        <v>7</v>
      </c>
      <c r="D173" t="s">
        <v>5</v>
      </c>
      <c r="E173">
        <v>1</v>
      </c>
    </row>
    <row r="174" spans="1:5" x14ac:dyDescent="0.25">
      <c r="A174" t="s">
        <v>70</v>
      </c>
      <c r="B174">
        <v>2022</v>
      </c>
      <c r="C174" t="s">
        <v>7</v>
      </c>
      <c r="D174" t="s">
        <v>6</v>
      </c>
      <c r="E174">
        <v>5</v>
      </c>
    </row>
    <row r="175" spans="1:5" x14ac:dyDescent="0.25">
      <c r="A175" t="s">
        <v>70</v>
      </c>
      <c r="B175">
        <v>2022</v>
      </c>
      <c r="C175" t="s">
        <v>7</v>
      </c>
      <c r="D175" t="s">
        <v>7</v>
      </c>
      <c r="E175">
        <v>17</v>
      </c>
    </row>
    <row r="176" spans="1:5" x14ac:dyDescent="0.25">
      <c r="A176" t="s">
        <v>70</v>
      </c>
      <c r="B176">
        <v>2022</v>
      </c>
      <c r="C176" t="s">
        <v>7</v>
      </c>
      <c r="D176" t="s">
        <v>8</v>
      </c>
      <c r="E176">
        <v>2</v>
      </c>
    </row>
    <row r="177" spans="1:5" x14ac:dyDescent="0.25">
      <c r="A177" t="s">
        <v>70</v>
      </c>
      <c r="B177">
        <v>2022</v>
      </c>
      <c r="C177" t="s">
        <v>8</v>
      </c>
      <c r="D177" t="s">
        <v>6</v>
      </c>
      <c r="E177">
        <v>1</v>
      </c>
    </row>
    <row r="178" spans="1:5" x14ac:dyDescent="0.25">
      <c r="A178" t="s">
        <v>70</v>
      </c>
      <c r="B178">
        <v>2022</v>
      </c>
      <c r="C178" t="s">
        <v>8</v>
      </c>
      <c r="D178" t="s">
        <v>7</v>
      </c>
      <c r="E178">
        <v>1</v>
      </c>
    </row>
    <row r="179" spans="1:5" x14ac:dyDescent="0.25">
      <c r="A179" t="s">
        <v>70</v>
      </c>
      <c r="B179">
        <v>2022</v>
      </c>
      <c r="C179" t="s">
        <v>8</v>
      </c>
      <c r="D179" t="s">
        <v>8</v>
      </c>
      <c r="E179">
        <v>2</v>
      </c>
    </row>
    <row r="180" spans="1:5" x14ac:dyDescent="0.25">
      <c r="A180" t="s">
        <v>70</v>
      </c>
      <c r="B180">
        <v>2022</v>
      </c>
      <c r="C180" t="s">
        <v>8</v>
      </c>
      <c r="D180" t="s">
        <v>9</v>
      </c>
      <c r="E180">
        <v>3</v>
      </c>
    </row>
    <row r="181" spans="1:5" x14ac:dyDescent="0.25">
      <c r="A181" t="s">
        <v>70</v>
      </c>
      <c r="B181">
        <v>2022</v>
      </c>
      <c r="C181" t="s">
        <v>9</v>
      </c>
      <c r="D181" t="s">
        <v>6</v>
      </c>
      <c r="E181">
        <v>1</v>
      </c>
    </row>
    <row r="182" spans="1:5" x14ac:dyDescent="0.25">
      <c r="A182" t="s">
        <v>70</v>
      </c>
      <c r="B182">
        <v>2022</v>
      </c>
      <c r="C182" t="s">
        <v>9</v>
      </c>
      <c r="D182" t="s">
        <v>8</v>
      </c>
      <c r="E182">
        <v>1</v>
      </c>
    </row>
    <row r="183" spans="1:5" x14ac:dyDescent="0.25">
      <c r="A183" t="s">
        <v>70</v>
      </c>
      <c r="B183">
        <v>2022</v>
      </c>
      <c r="C183" t="s">
        <v>9</v>
      </c>
      <c r="D183" t="s">
        <v>9</v>
      </c>
      <c r="E183">
        <v>4</v>
      </c>
    </row>
    <row r="184" spans="1:5" x14ac:dyDescent="0.25">
      <c r="A184" t="s">
        <v>70</v>
      </c>
      <c r="B184">
        <v>2022</v>
      </c>
      <c r="C184" t="s">
        <v>9</v>
      </c>
      <c r="D184" t="s">
        <v>10</v>
      </c>
      <c r="E184">
        <v>2</v>
      </c>
    </row>
    <row r="185" spans="1:5" x14ac:dyDescent="0.25">
      <c r="A185" t="s">
        <v>70</v>
      </c>
      <c r="B185">
        <v>2022</v>
      </c>
      <c r="C185" t="s">
        <v>9</v>
      </c>
      <c r="D185" t="s">
        <v>11</v>
      </c>
      <c r="E185">
        <v>1</v>
      </c>
    </row>
    <row r="186" spans="1:5" x14ac:dyDescent="0.25">
      <c r="A186" t="s">
        <v>70</v>
      </c>
      <c r="B186">
        <v>2022</v>
      </c>
      <c r="C186" t="s">
        <v>10</v>
      </c>
      <c r="D186" t="s">
        <v>8</v>
      </c>
      <c r="E186">
        <v>1</v>
      </c>
    </row>
    <row r="187" spans="1:5" x14ac:dyDescent="0.25">
      <c r="A187" t="s">
        <v>70</v>
      </c>
      <c r="B187">
        <v>2022</v>
      </c>
      <c r="C187" t="s">
        <v>11</v>
      </c>
      <c r="D187" t="s">
        <v>11</v>
      </c>
      <c r="E187">
        <v>1</v>
      </c>
    </row>
    <row r="188" spans="1:5" x14ac:dyDescent="0.25">
      <c r="A188" t="s">
        <v>70</v>
      </c>
      <c r="B188">
        <v>2022</v>
      </c>
      <c r="C188" t="s">
        <v>11</v>
      </c>
      <c r="D188" t="s">
        <v>71</v>
      </c>
      <c r="E188">
        <v>1</v>
      </c>
    </row>
    <row r="189" spans="1:5" x14ac:dyDescent="0.25">
      <c r="A189" t="s">
        <v>85</v>
      </c>
      <c r="B189">
        <v>2018</v>
      </c>
      <c r="C189" t="s">
        <v>3</v>
      </c>
      <c r="D189" t="s">
        <v>8</v>
      </c>
      <c r="E189">
        <v>1</v>
      </c>
    </row>
    <row r="190" spans="1:5" x14ac:dyDescent="0.25">
      <c r="A190" t="s">
        <v>85</v>
      </c>
      <c r="B190">
        <v>2018</v>
      </c>
      <c r="C190" t="s">
        <v>7</v>
      </c>
      <c r="D190" t="s">
        <v>8</v>
      </c>
      <c r="E190">
        <v>2</v>
      </c>
    </row>
    <row r="191" spans="1:5" x14ac:dyDescent="0.25">
      <c r="A191" t="s">
        <v>85</v>
      </c>
      <c r="B191">
        <v>2018</v>
      </c>
      <c r="C191" t="s">
        <v>8</v>
      </c>
      <c r="D191" t="s">
        <v>8</v>
      </c>
      <c r="E191">
        <v>2</v>
      </c>
    </row>
    <row r="192" spans="1:5" x14ac:dyDescent="0.25">
      <c r="A192" t="s">
        <v>85</v>
      </c>
      <c r="B192">
        <v>2018</v>
      </c>
      <c r="C192" t="s">
        <v>8</v>
      </c>
      <c r="D192" t="s">
        <v>10</v>
      </c>
      <c r="E192">
        <v>1</v>
      </c>
    </row>
    <row r="193" spans="1:5" x14ac:dyDescent="0.25">
      <c r="A193" t="s">
        <v>85</v>
      </c>
      <c r="B193">
        <v>2018</v>
      </c>
      <c r="C193" t="s">
        <v>9</v>
      </c>
      <c r="D193" t="s">
        <v>8</v>
      </c>
      <c r="E193">
        <v>2</v>
      </c>
    </row>
    <row r="194" spans="1:5" x14ac:dyDescent="0.25">
      <c r="A194" t="s">
        <v>85</v>
      </c>
      <c r="B194">
        <v>2018</v>
      </c>
      <c r="C194" t="s">
        <v>9</v>
      </c>
      <c r="D194" t="s">
        <v>9</v>
      </c>
      <c r="E194">
        <v>9</v>
      </c>
    </row>
    <row r="195" spans="1:5" x14ac:dyDescent="0.25">
      <c r="A195" t="s">
        <v>85</v>
      </c>
      <c r="B195">
        <v>2018</v>
      </c>
      <c r="C195" t="s">
        <v>9</v>
      </c>
      <c r="D195" t="s">
        <v>10</v>
      </c>
      <c r="E195">
        <v>4</v>
      </c>
    </row>
    <row r="196" spans="1:5" x14ac:dyDescent="0.25">
      <c r="A196" t="s">
        <v>85</v>
      </c>
      <c r="B196">
        <v>2018</v>
      </c>
      <c r="C196" t="s">
        <v>9</v>
      </c>
      <c r="D196" t="s">
        <v>11</v>
      </c>
      <c r="E196">
        <v>1</v>
      </c>
    </row>
    <row r="197" spans="1:5" x14ac:dyDescent="0.25">
      <c r="A197" t="s">
        <v>85</v>
      </c>
      <c r="B197">
        <v>2018</v>
      </c>
      <c r="C197" t="s">
        <v>10</v>
      </c>
      <c r="D197" t="s">
        <v>7</v>
      </c>
      <c r="E197">
        <v>1</v>
      </c>
    </row>
    <row r="198" spans="1:5" x14ac:dyDescent="0.25">
      <c r="A198" t="s">
        <v>85</v>
      </c>
      <c r="B198">
        <v>2018</v>
      </c>
      <c r="C198" t="s">
        <v>10</v>
      </c>
      <c r="D198" t="s">
        <v>9</v>
      </c>
      <c r="E198">
        <v>1</v>
      </c>
    </row>
    <row r="199" spans="1:5" x14ac:dyDescent="0.25">
      <c r="A199" t="s">
        <v>85</v>
      </c>
      <c r="B199">
        <v>2018</v>
      </c>
      <c r="C199" t="s">
        <v>10</v>
      </c>
      <c r="D199" t="s">
        <v>10</v>
      </c>
      <c r="E199">
        <v>3</v>
      </c>
    </row>
    <row r="200" spans="1:5" x14ac:dyDescent="0.25">
      <c r="A200" t="s">
        <v>85</v>
      </c>
      <c r="B200">
        <v>2018</v>
      </c>
      <c r="C200" t="s">
        <v>10</v>
      </c>
      <c r="D200" t="s">
        <v>11</v>
      </c>
      <c r="E200">
        <v>3</v>
      </c>
    </row>
    <row r="201" spans="1:5" x14ac:dyDescent="0.25">
      <c r="A201" t="s">
        <v>85</v>
      </c>
      <c r="B201">
        <v>2018</v>
      </c>
      <c r="C201" t="s">
        <v>11</v>
      </c>
      <c r="D201" t="s">
        <v>8</v>
      </c>
      <c r="E201">
        <v>1</v>
      </c>
    </row>
    <row r="202" spans="1:5" x14ac:dyDescent="0.25">
      <c r="A202" t="s">
        <v>85</v>
      </c>
      <c r="B202">
        <v>2018</v>
      </c>
      <c r="C202" t="s">
        <v>11</v>
      </c>
      <c r="D202" t="s">
        <v>11</v>
      </c>
      <c r="E202">
        <v>4</v>
      </c>
    </row>
    <row r="203" spans="1:5" x14ac:dyDescent="0.25">
      <c r="A203" t="s">
        <v>85</v>
      </c>
      <c r="B203">
        <v>2019</v>
      </c>
      <c r="C203" t="s">
        <v>6</v>
      </c>
      <c r="D203" t="s">
        <v>5</v>
      </c>
      <c r="E203">
        <v>1</v>
      </c>
    </row>
    <row r="204" spans="1:5" x14ac:dyDescent="0.25">
      <c r="A204" t="s">
        <v>85</v>
      </c>
      <c r="B204">
        <v>2019</v>
      </c>
      <c r="C204" t="s">
        <v>6</v>
      </c>
      <c r="D204" t="s">
        <v>7</v>
      </c>
      <c r="E204">
        <v>1</v>
      </c>
    </row>
    <row r="205" spans="1:5" x14ac:dyDescent="0.25">
      <c r="A205" t="s">
        <v>85</v>
      </c>
      <c r="B205">
        <v>2019</v>
      </c>
      <c r="C205" t="s">
        <v>6</v>
      </c>
      <c r="D205" t="s">
        <v>8</v>
      </c>
      <c r="E205">
        <v>1</v>
      </c>
    </row>
    <row r="206" spans="1:5" x14ac:dyDescent="0.25">
      <c r="A206" t="s">
        <v>85</v>
      </c>
      <c r="B206">
        <v>2019</v>
      </c>
      <c r="C206" t="s">
        <v>6</v>
      </c>
      <c r="D206" t="s">
        <v>9</v>
      </c>
      <c r="E206">
        <v>1</v>
      </c>
    </row>
    <row r="207" spans="1:5" x14ac:dyDescent="0.25">
      <c r="A207" t="s">
        <v>85</v>
      </c>
      <c r="B207">
        <v>2019</v>
      </c>
      <c r="C207" t="s">
        <v>7</v>
      </c>
      <c r="D207" t="s">
        <v>9</v>
      </c>
      <c r="E207">
        <v>1</v>
      </c>
    </row>
    <row r="208" spans="1:5" x14ac:dyDescent="0.25">
      <c r="A208" t="s">
        <v>85</v>
      </c>
      <c r="B208">
        <v>2019</v>
      </c>
      <c r="C208" t="s">
        <v>7</v>
      </c>
      <c r="D208" t="s">
        <v>10</v>
      </c>
      <c r="E208">
        <v>1</v>
      </c>
    </row>
    <row r="209" spans="1:5" x14ac:dyDescent="0.25">
      <c r="A209" t="s">
        <v>85</v>
      </c>
      <c r="B209">
        <v>2019</v>
      </c>
      <c r="C209" t="s">
        <v>8</v>
      </c>
      <c r="D209" t="s">
        <v>5</v>
      </c>
      <c r="E209">
        <v>2</v>
      </c>
    </row>
    <row r="210" spans="1:5" x14ac:dyDescent="0.25">
      <c r="A210" t="s">
        <v>85</v>
      </c>
      <c r="B210">
        <v>2019</v>
      </c>
      <c r="C210" t="s">
        <v>8</v>
      </c>
      <c r="D210" t="s">
        <v>8</v>
      </c>
      <c r="E210">
        <v>2</v>
      </c>
    </row>
    <row r="211" spans="1:5" x14ac:dyDescent="0.25">
      <c r="A211" t="s">
        <v>85</v>
      </c>
      <c r="B211">
        <v>2019</v>
      </c>
      <c r="C211" t="s">
        <v>8</v>
      </c>
      <c r="D211" t="s">
        <v>9</v>
      </c>
      <c r="E211">
        <v>5</v>
      </c>
    </row>
    <row r="212" spans="1:5" x14ac:dyDescent="0.25">
      <c r="A212" t="s">
        <v>85</v>
      </c>
      <c r="B212">
        <v>2019</v>
      </c>
      <c r="C212" t="s">
        <v>8</v>
      </c>
      <c r="D212" t="s">
        <v>10</v>
      </c>
      <c r="E212">
        <v>3</v>
      </c>
    </row>
    <row r="213" spans="1:5" x14ac:dyDescent="0.25">
      <c r="A213" t="s">
        <v>85</v>
      </c>
      <c r="B213">
        <v>2019</v>
      </c>
      <c r="C213" t="s">
        <v>9</v>
      </c>
      <c r="D213" t="s">
        <v>9</v>
      </c>
      <c r="E213">
        <v>7</v>
      </c>
    </row>
    <row r="214" spans="1:5" x14ac:dyDescent="0.25">
      <c r="A214" t="s">
        <v>85</v>
      </c>
      <c r="B214">
        <v>2019</v>
      </c>
      <c r="C214" t="s">
        <v>9</v>
      </c>
      <c r="D214" t="s">
        <v>10</v>
      </c>
      <c r="E214">
        <v>2</v>
      </c>
    </row>
    <row r="215" spans="1:5" x14ac:dyDescent="0.25">
      <c r="A215" t="s">
        <v>85</v>
      </c>
      <c r="B215">
        <v>2019</v>
      </c>
      <c r="C215" t="s">
        <v>9</v>
      </c>
      <c r="D215" t="s">
        <v>11</v>
      </c>
      <c r="E215">
        <v>2</v>
      </c>
    </row>
    <row r="216" spans="1:5" x14ac:dyDescent="0.25">
      <c r="A216" t="s">
        <v>85</v>
      </c>
      <c r="B216">
        <v>2019</v>
      </c>
      <c r="C216" t="s">
        <v>10</v>
      </c>
      <c r="D216" t="s">
        <v>9</v>
      </c>
      <c r="E216">
        <v>4</v>
      </c>
    </row>
    <row r="217" spans="1:5" x14ac:dyDescent="0.25">
      <c r="A217" t="s">
        <v>85</v>
      </c>
      <c r="B217">
        <v>2019</v>
      </c>
      <c r="C217" t="s">
        <v>10</v>
      </c>
      <c r="D217" t="s">
        <v>10</v>
      </c>
      <c r="E217">
        <v>1</v>
      </c>
    </row>
    <row r="218" spans="1:5" x14ac:dyDescent="0.25">
      <c r="A218" t="s">
        <v>85</v>
      </c>
      <c r="B218">
        <v>2019</v>
      </c>
      <c r="C218" t="s">
        <v>10</v>
      </c>
      <c r="D218" t="s">
        <v>11</v>
      </c>
      <c r="E218">
        <v>1</v>
      </c>
    </row>
    <row r="219" spans="1:5" x14ac:dyDescent="0.25">
      <c r="A219" t="s">
        <v>85</v>
      </c>
      <c r="B219">
        <v>2019</v>
      </c>
      <c r="C219" t="s">
        <v>11</v>
      </c>
      <c r="D219" t="s">
        <v>9</v>
      </c>
      <c r="E219">
        <v>1</v>
      </c>
    </row>
    <row r="220" spans="1:5" x14ac:dyDescent="0.25">
      <c r="A220" t="s">
        <v>85</v>
      </c>
      <c r="B220">
        <v>2019</v>
      </c>
      <c r="C220" t="s">
        <v>11</v>
      </c>
      <c r="D220" t="s">
        <v>10</v>
      </c>
      <c r="E220">
        <v>3</v>
      </c>
    </row>
    <row r="221" spans="1:5" x14ac:dyDescent="0.25">
      <c r="A221" t="s">
        <v>85</v>
      </c>
      <c r="B221">
        <v>2019</v>
      </c>
      <c r="C221" t="s">
        <v>11</v>
      </c>
      <c r="D221" t="s">
        <v>11</v>
      </c>
      <c r="E221">
        <v>12</v>
      </c>
    </row>
    <row r="222" spans="1:5" x14ac:dyDescent="0.25">
      <c r="A222" t="s">
        <v>85</v>
      </c>
      <c r="B222">
        <v>2019</v>
      </c>
      <c r="C222" t="s">
        <v>11</v>
      </c>
      <c r="D222" t="s">
        <v>71</v>
      </c>
      <c r="E222">
        <v>2</v>
      </c>
    </row>
    <row r="223" spans="1:5" x14ac:dyDescent="0.25">
      <c r="A223" t="s">
        <v>85</v>
      </c>
      <c r="B223">
        <v>2020</v>
      </c>
      <c r="C223" t="s">
        <v>5</v>
      </c>
      <c r="D223" t="s">
        <v>5</v>
      </c>
      <c r="E223">
        <v>1</v>
      </c>
    </row>
    <row r="224" spans="1:5" x14ac:dyDescent="0.25">
      <c r="A224" t="s">
        <v>85</v>
      </c>
      <c r="B224">
        <v>2020</v>
      </c>
      <c r="C224" t="s">
        <v>7</v>
      </c>
      <c r="D224" t="s">
        <v>8</v>
      </c>
      <c r="E224">
        <v>1</v>
      </c>
    </row>
    <row r="225" spans="1:5" x14ac:dyDescent="0.25">
      <c r="A225" t="s">
        <v>85</v>
      </c>
      <c r="B225">
        <v>2020</v>
      </c>
      <c r="C225" t="s">
        <v>8</v>
      </c>
      <c r="D225" t="s">
        <v>8</v>
      </c>
      <c r="E225">
        <v>2</v>
      </c>
    </row>
    <row r="226" spans="1:5" x14ac:dyDescent="0.25">
      <c r="A226" t="s">
        <v>85</v>
      </c>
      <c r="B226">
        <v>2020</v>
      </c>
      <c r="C226" t="s">
        <v>8</v>
      </c>
      <c r="D226" t="s">
        <v>9</v>
      </c>
      <c r="E226">
        <v>1</v>
      </c>
    </row>
    <row r="227" spans="1:5" x14ac:dyDescent="0.25">
      <c r="A227" t="s">
        <v>85</v>
      </c>
      <c r="B227">
        <v>2020</v>
      </c>
      <c r="C227" t="s">
        <v>8</v>
      </c>
      <c r="D227" t="s">
        <v>10</v>
      </c>
      <c r="E227">
        <v>1</v>
      </c>
    </row>
    <row r="228" spans="1:5" x14ac:dyDescent="0.25">
      <c r="A228" t="s">
        <v>85</v>
      </c>
      <c r="B228">
        <v>2020</v>
      </c>
      <c r="C228" t="s">
        <v>8</v>
      </c>
      <c r="D228" t="s">
        <v>11</v>
      </c>
      <c r="E228">
        <v>1</v>
      </c>
    </row>
    <row r="229" spans="1:5" x14ac:dyDescent="0.25">
      <c r="A229" t="s">
        <v>85</v>
      </c>
      <c r="B229">
        <v>2020</v>
      </c>
      <c r="C229" t="s">
        <v>9</v>
      </c>
      <c r="D229" t="s">
        <v>7</v>
      </c>
      <c r="E229">
        <v>2</v>
      </c>
    </row>
    <row r="230" spans="1:5" x14ac:dyDescent="0.25">
      <c r="A230" t="s">
        <v>85</v>
      </c>
      <c r="B230">
        <v>2020</v>
      </c>
      <c r="C230" t="s">
        <v>9</v>
      </c>
      <c r="D230" t="s">
        <v>8</v>
      </c>
      <c r="E230">
        <v>2</v>
      </c>
    </row>
    <row r="231" spans="1:5" x14ac:dyDescent="0.25">
      <c r="A231" t="s">
        <v>85</v>
      </c>
      <c r="B231">
        <v>2020</v>
      </c>
      <c r="C231" t="s">
        <v>9</v>
      </c>
      <c r="D231" t="s">
        <v>9</v>
      </c>
      <c r="E231">
        <v>8</v>
      </c>
    </row>
    <row r="232" spans="1:5" x14ac:dyDescent="0.25">
      <c r="A232" t="s">
        <v>85</v>
      </c>
      <c r="B232">
        <v>2020</v>
      </c>
      <c r="C232" t="s">
        <v>9</v>
      </c>
      <c r="D232" t="s">
        <v>10</v>
      </c>
      <c r="E232">
        <v>7</v>
      </c>
    </row>
    <row r="233" spans="1:5" x14ac:dyDescent="0.25">
      <c r="A233" t="s">
        <v>85</v>
      </c>
      <c r="B233">
        <v>2020</v>
      </c>
      <c r="C233" t="s">
        <v>9</v>
      </c>
      <c r="D233" t="s">
        <v>11</v>
      </c>
      <c r="E233">
        <v>1</v>
      </c>
    </row>
    <row r="234" spans="1:5" x14ac:dyDescent="0.25">
      <c r="A234" t="s">
        <v>85</v>
      </c>
      <c r="B234">
        <v>2020</v>
      </c>
      <c r="C234" t="s">
        <v>10</v>
      </c>
      <c r="D234" t="s">
        <v>8</v>
      </c>
      <c r="E234">
        <v>1</v>
      </c>
    </row>
    <row r="235" spans="1:5" x14ac:dyDescent="0.25">
      <c r="A235" t="s">
        <v>85</v>
      </c>
      <c r="B235">
        <v>2020</v>
      </c>
      <c r="C235" t="s">
        <v>10</v>
      </c>
      <c r="D235" t="s">
        <v>9</v>
      </c>
      <c r="E235">
        <v>2</v>
      </c>
    </row>
    <row r="236" spans="1:5" x14ac:dyDescent="0.25">
      <c r="A236" t="s">
        <v>85</v>
      </c>
      <c r="B236">
        <v>2020</v>
      </c>
      <c r="C236" t="s">
        <v>10</v>
      </c>
      <c r="D236" t="s">
        <v>10</v>
      </c>
      <c r="E236">
        <v>2</v>
      </c>
    </row>
    <row r="237" spans="1:5" x14ac:dyDescent="0.25">
      <c r="A237" t="s">
        <v>85</v>
      </c>
      <c r="B237">
        <v>2020</v>
      </c>
      <c r="C237" t="s">
        <v>10</v>
      </c>
      <c r="D237" t="s">
        <v>11</v>
      </c>
      <c r="E237">
        <v>3</v>
      </c>
    </row>
    <row r="238" spans="1:5" x14ac:dyDescent="0.25">
      <c r="A238" t="s">
        <v>85</v>
      </c>
      <c r="B238">
        <v>2020</v>
      </c>
      <c r="C238" t="s">
        <v>10</v>
      </c>
      <c r="D238" t="s">
        <v>71</v>
      </c>
      <c r="E238">
        <v>2</v>
      </c>
    </row>
    <row r="239" spans="1:5" x14ac:dyDescent="0.25">
      <c r="A239" t="s">
        <v>85</v>
      </c>
      <c r="B239">
        <v>2020</v>
      </c>
      <c r="C239" t="s">
        <v>11</v>
      </c>
      <c r="D239" t="s">
        <v>8</v>
      </c>
      <c r="E239">
        <v>2</v>
      </c>
    </row>
    <row r="240" spans="1:5" x14ac:dyDescent="0.25">
      <c r="A240" t="s">
        <v>85</v>
      </c>
      <c r="B240">
        <v>2020</v>
      </c>
      <c r="C240" t="s">
        <v>11</v>
      </c>
      <c r="D240" t="s">
        <v>9</v>
      </c>
      <c r="E240">
        <v>2</v>
      </c>
    </row>
    <row r="241" spans="1:5" x14ac:dyDescent="0.25">
      <c r="A241" t="s">
        <v>85</v>
      </c>
      <c r="B241">
        <v>2020</v>
      </c>
      <c r="C241" t="s">
        <v>11</v>
      </c>
      <c r="D241" t="s">
        <v>10</v>
      </c>
      <c r="E241">
        <v>4</v>
      </c>
    </row>
    <row r="242" spans="1:5" x14ac:dyDescent="0.25">
      <c r="A242" t="s">
        <v>85</v>
      </c>
      <c r="B242">
        <v>2020</v>
      </c>
      <c r="C242" t="s">
        <v>11</v>
      </c>
      <c r="D242" t="s">
        <v>11</v>
      </c>
      <c r="E242">
        <v>8</v>
      </c>
    </row>
    <row r="243" spans="1:5" x14ac:dyDescent="0.25">
      <c r="A243" t="s">
        <v>85</v>
      </c>
      <c r="B243">
        <v>2020</v>
      </c>
      <c r="C243" t="s">
        <v>11</v>
      </c>
      <c r="D243" t="s">
        <v>71</v>
      </c>
      <c r="E243">
        <v>3</v>
      </c>
    </row>
    <row r="244" spans="1:5" x14ac:dyDescent="0.25">
      <c r="A244" t="s">
        <v>85</v>
      </c>
      <c r="B244">
        <v>2021</v>
      </c>
      <c r="C244" t="s">
        <v>5</v>
      </c>
      <c r="D244" t="s">
        <v>5</v>
      </c>
      <c r="E244">
        <v>1</v>
      </c>
    </row>
    <row r="245" spans="1:5" x14ac:dyDescent="0.25">
      <c r="A245" t="s">
        <v>85</v>
      </c>
      <c r="B245">
        <v>2021</v>
      </c>
      <c r="C245" t="s">
        <v>5</v>
      </c>
      <c r="D245" t="s">
        <v>7</v>
      </c>
      <c r="E245">
        <v>1</v>
      </c>
    </row>
    <row r="246" spans="1:5" x14ac:dyDescent="0.25">
      <c r="A246" t="s">
        <v>85</v>
      </c>
      <c r="B246">
        <v>2021</v>
      </c>
      <c r="C246" t="s">
        <v>5</v>
      </c>
      <c r="D246" t="s">
        <v>8</v>
      </c>
      <c r="E246">
        <v>1</v>
      </c>
    </row>
    <row r="247" spans="1:5" x14ac:dyDescent="0.25">
      <c r="A247" t="s">
        <v>85</v>
      </c>
      <c r="B247">
        <v>2021</v>
      </c>
      <c r="C247" t="s">
        <v>6</v>
      </c>
      <c r="D247" t="s">
        <v>7</v>
      </c>
      <c r="E247">
        <v>3</v>
      </c>
    </row>
    <row r="248" spans="1:5" x14ac:dyDescent="0.25">
      <c r="A248" t="s">
        <v>85</v>
      </c>
      <c r="B248">
        <v>2021</v>
      </c>
      <c r="C248" t="s">
        <v>7</v>
      </c>
      <c r="D248" t="s">
        <v>5</v>
      </c>
      <c r="E248">
        <v>2</v>
      </c>
    </row>
    <row r="249" spans="1:5" x14ac:dyDescent="0.25">
      <c r="A249" t="s">
        <v>85</v>
      </c>
      <c r="B249">
        <v>2021</v>
      </c>
      <c r="C249" t="s">
        <v>7</v>
      </c>
      <c r="D249" t="s">
        <v>7</v>
      </c>
      <c r="E249">
        <v>4</v>
      </c>
    </row>
    <row r="250" spans="1:5" x14ac:dyDescent="0.25">
      <c r="A250" t="s">
        <v>85</v>
      </c>
      <c r="B250">
        <v>2021</v>
      </c>
      <c r="C250" t="s">
        <v>7</v>
      </c>
      <c r="D250" t="s">
        <v>8</v>
      </c>
      <c r="E250">
        <v>2</v>
      </c>
    </row>
    <row r="251" spans="1:5" x14ac:dyDescent="0.25">
      <c r="A251" t="s">
        <v>85</v>
      </c>
      <c r="B251">
        <v>2021</v>
      </c>
      <c r="C251" t="s">
        <v>7</v>
      </c>
      <c r="D251" t="s">
        <v>9</v>
      </c>
      <c r="E251">
        <v>2</v>
      </c>
    </row>
    <row r="252" spans="1:5" x14ac:dyDescent="0.25">
      <c r="A252" t="s">
        <v>85</v>
      </c>
      <c r="B252">
        <v>2021</v>
      </c>
      <c r="C252" t="s">
        <v>7</v>
      </c>
      <c r="D252" t="s">
        <v>10</v>
      </c>
      <c r="E252">
        <v>1</v>
      </c>
    </row>
    <row r="253" spans="1:5" x14ac:dyDescent="0.25">
      <c r="A253" t="s">
        <v>85</v>
      </c>
      <c r="B253">
        <v>2021</v>
      </c>
      <c r="C253" t="s">
        <v>7</v>
      </c>
      <c r="D253" t="s">
        <v>11</v>
      </c>
      <c r="E253">
        <v>1</v>
      </c>
    </row>
    <row r="254" spans="1:5" x14ac:dyDescent="0.25">
      <c r="A254" t="s">
        <v>85</v>
      </c>
      <c r="B254">
        <v>2021</v>
      </c>
      <c r="C254" t="s">
        <v>8</v>
      </c>
      <c r="D254" t="s">
        <v>3</v>
      </c>
      <c r="E254">
        <v>1</v>
      </c>
    </row>
    <row r="255" spans="1:5" x14ac:dyDescent="0.25">
      <c r="A255" t="s">
        <v>85</v>
      </c>
      <c r="B255">
        <v>2021</v>
      </c>
      <c r="C255" t="s">
        <v>8</v>
      </c>
      <c r="D255" t="s">
        <v>5</v>
      </c>
      <c r="E255">
        <v>2</v>
      </c>
    </row>
    <row r="256" spans="1:5" x14ac:dyDescent="0.25">
      <c r="A256" t="s">
        <v>85</v>
      </c>
      <c r="B256">
        <v>2021</v>
      </c>
      <c r="C256" t="s">
        <v>8</v>
      </c>
      <c r="D256" t="s">
        <v>6</v>
      </c>
      <c r="E256">
        <v>1</v>
      </c>
    </row>
    <row r="257" spans="1:5" x14ac:dyDescent="0.25">
      <c r="A257" t="s">
        <v>85</v>
      </c>
      <c r="B257">
        <v>2021</v>
      </c>
      <c r="C257" t="s">
        <v>8</v>
      </c>
      <c r="D257" t="s">
        <v>7</v>
      </c>
      <c r="E257">
        <v>2</v>
      </c>
    </row>
    <row r="258" spans="1:5" x14ac:dyDescent="0.25">
      <c r="A258" t="s">
        <v>85</v>
      </c>
      <c r="B258">
        <v>2021</v>
      </c>
      <c r="C258" t="s">
        <v>8</v>
      </c>
      <c r="D258" t="s">
        <v>8</v>
      </c>
      <c r="E258">
        <v>4</v>
      </c>
    </row>
    <row r="259" spans="1:5" x14ac:dyDescent="0.25">
      <c r="A259" t="s">
        <v>85</v>
      </c>
      <c r="B259">
        <v>2021</v>
      </c>
      <c r="C259" t="s">
        <v>8</v>
      </c>
      <c r="D259" t="s">
        <v>9</v>
      </c>
      <c r="E259">
        <v>2</v>
      </c>
    </row>
    <row r="260" spans="1:5" x14ac:dyDescent="0.25">
      <c r="A260" t="s">
        <v>85</v>
      </c>
      <c r="B260">
        <v>2021</v>
      </c>
      <c r="C260" t="s">
        <v>8</v>
      </c>
      <c r="D260" t="s">
        <v>11</v>
      </c>
      <c r="E260">
        <v>1</v>
      </c>
    </row>
    <row r="261" spans="1:5" x14ac:dyDescent="0.25">
      <c r="A261" t="s">
        <v>85</v>
      </c>
      <c r="B261">
        <v>2021</v>
      </c>
      <c r="C261" t="s">
        <v>9</v>
      </c>
      <c r="D261" t="s">
        <v>5</v>
      </c>
      <c r="E261">
        <v>1</v>
      </c>
    </row>
    <row r="262" spans="1:5" x14ac:dyDescent="0.25">
      <c r="A262" t="s">
        <v>85</v>
      </c>
      <c r="B262">
        <v>2021</v>
      </c>
      <c r="C262" t="s">
        <v>9</v>
      </c>
      <c r="D262" t="s">
        <v>7</v>
      </c>
      <c r="E262">
        <v>5</v>
      </c>
    </row>
    <row r="263" spans="1:5" x14ac:dyDescent="0.25">
      <c r="A263" t="s">
        <v>85</v>
      </c>
      <c r="B263">
        <v>2021</v>
      </c>
      <c r="C263" t="s">
        <v>9</v>
      </c>
      <c r="D263" t="s">
        <v>8</v>
      </c>
      <c r="E263">
        <v>3</v>
      </c>
    </row>
    <row r="264" spans="1:5" x14ac:dyDescent="0.25">
      <c r="A264" t="s">
        <v>85</v>
      </c>
      <c r="B264">
        <v>2021</v>
      </c>
      <c r="C264" t="s">
        <v>9</v>
      </c>
      <c r="D264" t="s">
        <v>9</v>
      </c>
      <c r="E264">
        <v>3</v>
      </c>
    </row>
    <row r="265" spans="1:5" x14ac:dyDescent="0.25">
      <c r="A265" t="s">
        <v>85</v>
      </c>
      <c r="B265">
        <v>2021</v>
      </c>
      <c r="C265" t="s">
        <v>9</v>
      </c>
      <c r="D265" t="s">
        <v>10</v>
      </c>
      <c r="E265">
        <v>2</v>
      </c>
    </row>
    <row r="266" spans="1:5" x14ac:dyDescent="0.25">
      <c r="A266" t="s">
        <v>85</v>
      </c>
      <c r="B266">
        <v>2021</v>
      </c>
      <c r="C266" t="s">
        <v>9</v>
      </c>
      <c r="D266" t="s">
        <v>11</v>
      </c>
      <c r="E266">
        <v>4</v>
      </c>
    </row>
    <row r="267" spans="1:5" x14ac:dyDescent="0.25">
      <c r="A267" t="s">
        <v>85</v>
      </c>
      <c r="B267">
        <v>2021</v>
      </c>
      <c r="C267" t="s">
        <v>10</v>
      </c>
      <c r="D267" t="s">
        <v>7</v>
      </c>
      <c r="E267">
        <v>1</v>
      </c>
    </row>
    <row r="268" spans="1:5" x14ac:dyDescent="0.25">
      <c r="A268" t="s">
        <v>85</v>
      </c>
      <c r="B268">
        <v>2021</v>
      </c>
      <c r="C268" t="s">
        <v>10</v>
      </c>
      <c r="D268" t="s">
        <v>8</v>
      </c>
      <c r="E268">
        <v>3</v>
      </c>
    </row>
    <row r="269" spans="1:5" x14ac:dyDescent="0.25">
      <c r="A269" t="s">
        <v>85</v>
      </c>
      <c r="B269">
        <v>2021</v>
      </c>
      <c r="C269" t="s">
        <v>10</v>
      </c>
      <c r="D269" t="s">
        <v>9</v>
      </c>
      <c r="E269">
        <v>5</v>
      </c>
    </row>
    <row r="270" spans="1:5" x14ac:dyDescent="0.25">
      <c r="A270" t="s">
        <v>85</v>
      </c>
      <c r="B270">
        <v>2021</v>
      </c>
      <c r="C270" t="s">
        <v>10</v>
      </c>
      <c r="D270" t="s">
        <v>10</v>
      </c>
      <c r="E270">
        <v>4</v>
      </c>
    </row>
    <row r="271" spans="1:5" x14ac:dyDescent="0.25">
      <c r="A271" t="s">
        <v>85</v>
      </c>
      <c r="B271">
        <v>2021</v>
      </c>
      <c r="C271" t="s">
        <v>10</v>
      </c>
      <c r="D271" t="s">
        <v>11</v>
      </c>
      <c r="E271">
        <v>2</v>
      </c>
    </row>
    <row r="272" spans="1:5" x14ac:dyDescent="0.25">
      <c r="A272" t="s">
        <v>85</v>
      </c>
      <c r="B272">
        <v>2021</v>
      </c>
      <c r="C272" t="s">
        <v>11</v>
      </c>
      <c r="D272" t="s">
        <v>8</v>
      </c>
      <c r="E272">
        <v>1</v>
      </c>
    </row>
    <row r="273" spans="1:5" x14ac:dyDescent="0.25">
      <c r="A273" t="s">
        <v>85</v>
      </c>
      <c r="B273">
        <v>2021</v>
      </c>
      <c r="C273" t="s">
        <v>11</v>
      </c>
      <c r="D273" t="s">
        <v>9</v>
      </c>
      <c r="E273">
        <v>3</v>
      </c>
    </row>
    <row r="274" spans="1:5" x14ac:dyDescent="0.25">
      <c r="A274" t="s">
        <v>85</v>
      </c>
      <c r="B274">
        <v>2021</v>
      </c>
      <c r="C274" t="s">
        <v>11</v>
      </c>
      <c r="D274" t="s">
        <v>10</v>
      </c>
      <c r="E274">
        <v>2</v>
      </c>
    </row>
    <row r="275" spans="1:5" x14ac:dyDescent="0.25">
      <c r="A275" t="s">
        <v>85</v>
      </c>
      <c r="B275">
        <v>2021</v>
      </c>
      <c r="C275" t="s">
        <v>11</v>
      </c>
      <c r="D275" t="s">
        <v>11</v>
      </c>
      <c r="E275">
        <v>5</v>
      </c>
    </row>
    <row r="276" spans="1:5" x14ac:dyDescent="0.25">
      <c r="A276" t="s">
        <v>85</v>
      </c>
      <c r="B276">
        <v>2022</v>
      </c>
      <c r="C276" t="s">
        <v>3</v>
      </c>
      <c r="D276" t="s">
        <v>5</v>
      </c>
      <c r="E276">
        <v>1</v>
      </c>
    </row>
    <row r="277" spans="1:5" x14ac:dyDescent="0.25">
      <c r="A277" t="s">
        <v>85</v>
      </c>
      <c r="B277">
        <v>2022</v>
      </c>
      <c r="C277" t="s">
        <v>5</v>
      </c>
      <c r="D277" t="s">
        <v>5</v>
      </c>
      <c r="E277">
        <v>1</v>
      </c>
    </row>
    <row r="278" spans="1:5" x14ac:dyDescent="0.25">
      <c r="A278" t="s">
        <v>85</v>
      </c>
      <c r="B278">
        <v>2022</v>
      </c>
      <c r="C278" t="s">
        <v>5</v>
      </c>
      <c r="D278" t="s">
        <v>7</v>
      </c>
      <c r="E278">
        <v>1</v>
      </c>
    </row>
    <row r="279" spans="1:5" x14ac:dyDescent="0.25">
      <c r="A279" t="s">
        <v>85</v>
      </c>
      <c r="B279">
        <v>2022</v>
      </c>
      <c r="C279" t="s">
        <v>6</v>
      </c>
      <c r="D279" t="s">
        <v>6</v>
      </c>
      <c r="E279">
        <v>1</v>
      </c>
    </row>
    <row r="280" spans="1:5" x14ac:dyDescent="0.25">
      <c r="A280" t="s">
        <v>85</v>
      </c>
      <c r="B280">
        <v>2022</v>
      </c>
      <c r="C280" t="s">
        <v>6</v>
      </c>
      <c r="D280" t="s">
        <v>7</v>
      </c>
      <c r="E280">
        <v>1</v>
      </c>
    </row>
    <row r="281" spans="1:5" x14ac:dyDescent="0.25">
      <c r="A281" t="s">
        <v>85</v>
      </c>
      <c r="B281">
        <v>2022</v>
      </c>
      <c r="C281" t="s">
        <v>7</v>
      </c>
      <c r="D281" t="s">
        <v>5</v>
      </c>
      <c r="E281">
        <v>1</v>
      </c>
    </row>
    <row r="282" spans="1:5" x14ac:dyDescent="0.25">
      <c r="A282" t="s">
        <v>85</v>
      </c>
      <c r="B282">
        <v>2022</v>
      </c>
      <c r="C282" t="s">
        <v>7</v>
      </c>
      <c r="D282" t="s">
        <v>7</v>
      </c>
      <c r="E282">
        <v>2</v>
      </c>
    </row>
    <row r="283" spans="1:5" x14ac:dyDescent="0.25">
      <c r="A283" t="s">
        <v>85</v>
      </c>
      <c r="B283">
        <v>2022</v>
      </c>
      <c r="C283" t="s">
        <v>8</v>
      </c>
      <c r="D283" t="s">
        <v>71</v>
      </c>
      <c r="E283">
        <v>1</v>
      </c>
    </row>
    <row r="284" spans="1:5" x14ac:dyDescent="0.25">
      <c r="A284" t="s">
        <v>85</v>
      </c>
      <c r="B284">
        <v>2022</v>
      </c>
      <c r="C284" t="s">
        <v>9</v>
      </c>
      <c r="D284" t="s">
        <v>71</v>
      </c>
      <c r="E284">
        <v>1</v>
      </c>
    </row>
    <row r="285" spans="1:5" x14ac:dyDescent="0.25">
      <c r="A285" t="s">
        <v>85</v>
      </c>
      <c r="B285">
        <v>2022</v>
      </c>
      <c r="C285" t="s">
        <v>10</v>
      </c>
      <c r="D285" t="s">
        <v>71</v>
      </c>
      <c r="E285">
        <v>1</v>
      </c>
    </row>
    <row r="286" spans="1:5" x14ac:dyDescent="0.25">
      <c r="A286" t="s">
        <v>85</v>
      </c>
      <c r="B286">
        <v>2022</v>
      </c>
      <c r="C286" t="s">
        <v>11</v>
      </c>
      <c r="D286" t="s">
        <v>71</v>
      </c>
      <c r="E286">
        <v>2</v>
      </c>
    </row>
    <row r="287" spans="1:5" x14ac:dyDescent="0.25">
      <c r="A287" t="s">
        <v>86</v>
      </c>
      <c r="B287">
        <v>2018</v>
      </c>
      <c r="C287" t="s">
        <v>5</v>
      </c>
      <c r="D287" t="s">
        <v>5</v>
      </c>
      <c r="E287">
        <v>1</v>
      </c>
    </row>
    <row r="288" spans="1:5" x14ac:dyDescent="0.25">
      <c r="A288" t="s">
        <v>86</v>
      </c>
      <c r="B288">
        <v>2018</v>
      </c>
      <c r="C288" t="s">
        <v>5</v>
      </c>
      <c r="D288" t="s">
        <v>6</v>
      </c>
      <c r="E288">
        <v>1</v>
      </c>
    </row>
    <row r="289" spans="1:5" x14ac:dyDescent="0.25">
      <c r="A289" t="s">
        <v>86</v>
      </c>
      <c r="B289">
        <v>2018</v>
      </c>
      <c r="C289" t="s">
        <v>6</v>
      </c>
      <c r="D289" t="s">
        <v>7</v>
      </c>
      <c r="E289">
        <v>3</v>
      </c>
    </row>
    <row r="290" spans="1:5" x14ac:dyDescent="0.25">
      <c r="A290" t="s">
        <v>86</v>
      </c>
      <c r="B290">
        <v>2018</v>
      </c>
      <c r="C290" t="s">
        <v>6</v>
      </c>
      <c r="D290" t="s">
        <v>8</v>
      </c>
      <c r="E290">
        <v>3</v>
      </c>
    </row>
    <row r="291" spans="1:5" x14ac:dyDescent="0.25">
      <c r="A291" t="s">
        <v>86</v>
      </c>
      <c r="B291">
        <v>2018</v>
      </c>
      <c r="C291" t="s">
        <v>6</v>
      </c>
      <c r="D291" t="s">
        <v>9</v>
      </c>
      <c r="E291">
        <v>2</v>
      </c>
    </row>
    <row r="292" spans="1:5" x14ac:dyDescent="0.25">
      <c r="A292" t="s">
        <v>86</v>
      </c>
      <c r="B292">
        <v>2018</v>
      </c>
      <c r="C292" t="s">
        <v>6</v>
      </c>
      <c r="D292" t="s">
        <v>10</v>
      </c>
      <c r="E292">
        <v>1</v>
      </c>
    </row>
    <row r="293" spans="1:5" x14ac:dyDescent="0.25">
      <c r="A293" t="s">
        <v>86</v>
      </c>
      <c r="B293">
        <v>2018</v>
      </c>
      <c r="C293" t="s">
        <v>6</v>
      </c>
      <c r="D293" t="s">
        <v>11</v>
      </c>
      <c r="E293">
        <v>6</v>
      </c>
    </row>
    <row r="294" spans="1:5" x14ac:dyDescent="0.25">
      <c r="A294" t="s">
        <v>86</v>
      </c>
      <c r="B294">
        <v>2018</v>
      </c>
      <c r="C294" t="s">
        <v>7</v>
      </c>
      <c r="D294" t="s">
        <v>6</v>
      </c>
      <c r="E294">
        <v>6</v>
      </c>
    </row>
    <row r="295" spans="1:5" x14ac:dyDescent="0.25">
      <c r="A295" t="s">
        <v>86</v>
      </c>
      <c r="B295">
        <v>2018</v>
      </c>
      <c r="C295" t="s">
        <v>7</v>
      </c>
      <c r="D295" t="s">
        <v>7</v>
      </c>
      <c r="E295">
        <v>4</v>
      </c>
    </row>
    <row r="296" spans="1:5" x14ac:dyDescent="0.25">
      <c r="A296" t="s">
        <v>86</v>
      </c>
      <c r="B296">
        <v>2018</v>
      </c>
      <c r="C296" t="s">
        <v>7</v>
      </c>
      <c r="D296" t="s">
        <v>8</v>
      </c>
      <c r="E296">
        <v>1</v>
      </c>
    </row>
    <row r="297" spans="1:5" x14ac:dyDescent="0.25">
      <c r="A297" t="s">
        <v>86</v>
      </c>
      <c r="B297">
        <v>2018</v>
      </c>
      <c r="C297" t="s">
        <v>7</v>
      </c>
      <c r="D297" t="s">
        <v>9</v>
      </c>
      <c r="E297">
        <v>2</v>
      </c>
    </row>
    <row r="298" spans="1:5" x14ac:dyDescent="0.25">
      <c r="A298" t="s">
        <v>86</v>
      </c>
      <c r="B298">
        <v>2018</v>
      </c>
      <c r="C298" t="s">
        <v>7</v>
      </c>
      <c r="D298" t="s">
        <v>11</v>
      </c>
      <c r="E298">
        <v>2</v>
      </c>
    </row>
    <row r="299" spans="1:5" x14ac:dyDescent="0.25">
      <c r="A299" t="s">
        <v>86</v>
      </c>
      <c r="B299">
        <v>2018</v>
      </c>
      <c r="C299" t="s">
        <v>8</v>
      </c>
      <c r="D299" t="s">
        <v>7</v>
      </c>
      <c r="E299">
        <v>2</v>
      </c>
    </row>
    <row r="300" spans="1:5" x14ac:dyDescent="0.25">
      <c r="A300" t="s">
        <v>86</v>
      </c>
      <c r="B300">
        <v>2018</v>
      </c>
      <c r="C300" t="s">
        <v>8</v>
      </c>
      <c r="D300" t="s">
        <v>8</v>
      </c>
      <c r="E300">
        <v>4</v>
      </c>
    </row>
    <row r="301" spans="1:5" x14ac:dyDescent="0.25">
      <c r="A301" t="s">
        <v>86</v>
      </c>
      <c r="B301">
        <v>2018</v>
      </c>
      <c r="C301" t="s">
        <v>8</v>
      </c>
      <c r="D301" t="s">
        <v>9</v>
      </c>
      <c r="E301">
        <v>2</v>
      </c>
    </row>
    <row r="302" spans="1:5" x14ac:dyDescent="0.25">
      <c r="A302" t="s">
        <v>86</v>
      </c>
      <c r="B302">
        <v>2018</v>
      </c>
      <c r="C302" t="s">
        <v>8</v>
      </c>
      <c r="D302" t="s">
        <v>11</v>
      </c>
      <c r="E302">
        <v>3</v>
      </c>
    </row>
    <row r="303" spans="1:5" x14ac:dyDescent="0.25">
      <c r="A303" t="s">
        <v>86</v>
      </c>
      <c r="B303">
        <v>2018</v>
      </c>
      <c r="C303" t="s">
        <v>9</v>
      </c>
      <c r="D303" t="s">
        <v>7</v>
      </c>
      <c r="E303">
        <v>1</v>
      </c>
    </row>
    <row r="304" spans="1:5" x14ac:dyDescent="0.25">
      <c r="A304" t="s">
        <v>86</v>
      </c>
      <c r="B304">
        <v>2018</v>
      </c>
      <c r="C304" t="s">
        <v>9</v>
      </c>
      <c r="D304" t="s">
        <v>10</v>
      </c>
      <c r="E304">
        <v>1</v>
      </c>
    </row>
    <row r="305" spans="1:5" x14ac:dyDescent="0.25">
      <c r="A305" t="s">
        <v>86</v>
      </c>
      <c r="B305">
        <v>2018</v>
      </c>
      <c r="C305" t="s">
        <v>10</v>
      </c>
      <c r="D305" t="s">
        <v>7</v>
      </c>
      <c r="E305">
        <v>1</v>
      </c>
    </row>
    <row r="306" spans="1:5" x14ac:dyDescent="0.25">
      <c r="A306" t="s">
        <v>86</v>
      </c>
      <c r="B306">
        <v>2018</v>
      </c>
      <c r="C306" t="s">
        <v>10</v>
      </c>
      <c r="D306" t="s">
        <v>8</v>
      </c>
      <c r="E306">
        <v>1</v>
      </c>
    </row>
    <row r="307" spans="1:5" x14ac:dyDescent="0.25">
      <c r="A307" t="s">
        <v>86</v>
      </c>
      <c r="B307">
        <v>2018</v>
      </c>
      <c r="C307" t="s">
        <v>10</v>
      </c>
      <c r="D307" t="s">
        <v>10</v>
      </c>
      <c r="E307">
        <v>1</v>
      </c>
    </row>
    <row r="308" spans="1:5" x14ac:dyDescent="0.25">
      <c r="A308" t="s">
        <v>86</v>
      </c>
      <c r="B308">
        <v>2018</v>
      </c>
      <c r="C308" t="s">
        <v>10</v>
      </c>
      <c r="D308" t="s">
        <v>11</v>
      </c>
      <c r="E308">
        <v>1</v>
      </c>
    </row>
    <row r="309" spans="1:5" x14ac:dyDescent="0.25">
      <c r="A309" t="s">
        <v>86</v>
      </c>
      <c r="B309">
        <v>2018</v>
      </c>
      <c r="C309" t="s">
        <v>11</v>
      </c>
      <c r="D309" t="s">
        <v>11</v>
      </c>
      <c r="E309">
        <v>12</v>
      </c>
    </row>
    <row r="310" spans="1:5" x14ac:dyDescent="0.25">
      <c r="A310" t="s">
        <v>86</v>
      </c>
      <c r="B310">
        <v>2019</v>
      </c>
      <c r="C310" t="s">
        <v>5</v>
      </c>
      <c r="D310" t="s">
        <v>5</v>
      </c>
      <c r="E310">
        <v>4</v>
      </c>
    </row>
    <row r="311" spans="1:5" x14ac:dyDescent="0.25">
      <c r="A311" t="s">
        <v>86</v>
      </c>
      <c r="B311">
        <v>2019</v>
      </c>
      <c r="C311" t="s">
        <v>5</v>
      </c>
      <c r="D311" t="s">
        <v>6</v>
      </c>
      <c r="E311">
        <v>2</v>
      </c>
    </row>
    <row r="312" spans="1:5" x14ac:dyDescent="0.25">
      <c r="A312" t="s">
        <v>86</v>
      </c>
      <c r="B312">
        <v>2019</v>
      </c>
      <c r="C312" t="s">
        <v>5</v>
      </c>
      <c r="D312" t="s">
        <v>7</v>
      </c>
      <c r="E312">
        <v>1</v>
      </c>
    </row>
    <row r="313" spans="1:5" x14ac:dyDescent="0.25">
      <c r="A313" t="s">
        <v>86</v>
      </c>
      <c r="B313">
        <v>2019</v>
      </c>
      <c r="C313" t="s">
        <v>5</v>
      </c>
      <c r="D313" t="s">
        <v>11</v>
      </c>
      <c r="E313">
        <v>1</v>
      </c>
    </row>
    <row r="314" spans="1:5" x14ac:dyDescent="0.25">
      <c r="A314" t="s">
        <v>86</v>
      </c>
      <c r="B314">
        <v>2019</v>
      </c>
      <c r="C314" t="s">
        <v>6</v>
      </c>
      <c r="D314" t="s">
        <v>6</v>
      </c>
      <c r="E314">
        <v>9</v>
      </c>
    </row>
    <row r="315" spans="1:5" x14ac:dyDescent="0.25">
      <c r="A315" t="s">
        <v>86</v>
      </c>
      <c r="B315">
        <v>2019</v>
      </c>
      <c r="C315" t="s">
        <v>6</v>
      </c>
      <c r="D315" t="s">
        <v>7</v>
      </c>
      <c r="E315">
        <v>11</v>
      </c>
    </row>
    <row r="316" spans="1:5" x14ac:dyDescent="0.25">
      <c r="A316" t="s">
        <v>86</v>
      </c>
      <c r="B316">
        <v>2019</v>
      </c>
      <c r="C316" t="s">
        <v>6</v>
      </c>
      <c r="D316" t="s">
        <v>8</v>
      </c>
      <c r="E316">
        <v>1</v>
      </c>
    </row>
    <row r="317" spans="1:5" x14ac:dyDescent="0.25">
      <c r="A317" t="s">
        <v>86</v>
      </c>
      <c r="B317">
        <v>2019</v>
      </c>
      <c r="C317" t="s">
        <v>6</v>
      </c>
      <c r="D317" t="s">
        <v>9</v>
      </c>
      <c r="E317">
        <v>1</v>
      </c>
    </row>
    <row r="318" spans="1:5" x14ac:dyDescent="0.25">
      <c r="A318" t="s">
        <v>86</v>
      </c>
      <c r="B318">
        <v>2019</v>
      </c>
      <c r="C318" t="s">
        <v>6</v>
      </c>
      <c r="D318" t="s">
        <v>10</v>
      </c>
      <c r="E318">
        <v>1</v>
      </c>
    </row>
    <row r="319" spans="1:5" x14ac:dyDescent="0.25">
      <c r="A319" t="s">
        <v>86</v>
      </c>
      <c r="B319">
        <v>2019</v>
      </c>
      <c r="C319" t="s">
        <v>6</v>
      </c>
      <c r="D319" t="s">
        <v>11</v>
      </c>
      <c r="E319">
        <v>3</v>
      </c>
    </row>
    <row r="320" spans="1:5" x14ac:dyDescent="0.25">
      <c r="A320" t="s">
        <v>86</v>
      </c>
      <c r="B320">
        <v>2019</v>
      </c>
      <c r="C320" t="s">
        <v>7</v>
      </c>
      <c r="D320" t="s">
        <v>5</v>
      </c>
      <c r="E320">
        <v>2</v>
      </c>
    </row>
    <row r="321" spans="1:5" x14ac:dyDescent="0.25">
      <c r="A321" t="s">
        <v>86</v>
      </c>
      <c r="B321">
        <v>2019</v>
      </c>
      <c r="C321" t="s">
        <v>7</v>
      </c>
      <c r="D321" t="s">
        <v>6</v>
      </c>
      <c r="E321">
        <v>7</v>
      </c>
    </row>
    <row r="322" spans="1:5" x14ac:dyDescent="0.25">
      <c r="A322" t="s">
        <v>86</v>
      </c>
      <c r="B322">
        <v>2019</v>
      </c>
      <c r="C322" t="s">
        <v>7</v>
      </c>
      <c r="D322" t="s">
        <v>7</v>
      </c>
      <c r="E322">
        <v>22</v>
      </c>
    </row>
    <row r="323" spans="1:5" x14ac:dyDescent="0.25">
      <c r="A323" t="s">
        <v>86</v>
      </c>
      <c r="B323">
        <v>2019</v>
      </c>
      <c r="C323" t="s">
        <v>7</v>
      </c>
      <c r="D323" t="s">
        <v>8</v>
      </c>
      <c r="E323">
        <v>16</v>
      </c>
    </row>
    <row r="324" spans="1:5" x14ac:dyDescent="0.25">
      <c r="A324" t="s">
        <v>86</v>
      </c>
      <c r="B324">
        <v>2019</v>
      </c>
      <c r="C324" t="s">
        <v>7</v>
      </c>
      <c r="D324" t="s">
        <v>9</v>
      </c>
      <c r="E324">
        <v>11</v>
      </c>
    </row>
    <row r="325" spans="1:5" x14ac:dyDescent="0.25">
      <c r="A325" t="s">
        <v>86</v>
      </c>
      <c r="B325">
        <v>2019</v>
      </c>
      <c r="C325" t="s">
        <v>7</v>
      </c>
      <c r="D325" t="s">
        <v>10</v>
      </c>
      <c r="E325">
        <v>6</v>
      </c>
    </row>
    <row r="326" spans="1:5" x14ac:dyDescent="0.25">
      <c r="A326" t="s">
        <v>86</v>
      </c>
      <c r="B326">
        <v>2019</v>
      </c>
      <c r="C326" t="s">
        <v>7</v>
      </c>
      <c r="D326" t="s">
        <v>11</v>
      </c>
      <c r="E326">
        <v>4</v>
      </c>
    </row>
    <row r="327" spans="1:5" x14ac:dyDescent="0.25">
      <c r="A327" t="s">
        <v>86</v>
      </c>
      <c r="B327">
        <v>2019</v>
      </c>
      <c r="C327" t="s">
        <v>8</v>
      </c>
      <c r="D327" t="s">
        <v>6</v>
      </c>
      <c r="E327">
        <v>3</v>
      </c>
    </row>
    <row r="328" spans="1:5" x14ac:dyDescent="0.25">
      <c r="A328" t="s">
        <v>86</v>
      </c>
      <c r="B328">
        <v>2019</v>
      </c>
      <c r="C328" t="s">
        <v>8</v>
      </c>
      <c r="D328" t="s">
        <v>7</v>
      </c>
      <c r="E328">
        <v>14</v>
      </c>
    </row>
    <row r="329" spans="1:5" x14ac:dyDescent="0.25">
      <c r="A329" t="s">
        <v>86</v>
      </c>
      <c r="B329">
        <v>2019</v>
      </c>
      <c r="C329" t="s">
        <v>8</v>
      </c>
      <c r="D329" t="s">
        <v>8</v>
      </c>
      <c r="E329">
        <v>32</v>
      </c>
    </row>
    <row r="330" spans="1:5" x14ac:dyDescent="0.25">
      <c r="A330" t="s">
        <v>86</v>
      </c>
      <c r="B330">
        <v>2019</v>
      </c>
      <c r="C330" t="s">
        <v>8</v>
      </c>
      <c r="D330" t="s">
        <v>9</v>
      </c>
      <c r="E330">
        <v>16</v>
      </c>
    </row>
    <row r="331" spans="1:5" x14ac:dyDescent="0.25">
      <c r="A331" t="s">
        <v>86</v>
      </c>
      <c r="B331">
        <v>2019</v>
      </c>
      <c r="C331" t="s">
        <v>8</v>
      </c>
      <c r="D331" t="s">
        <v>10</v>
      </c>
      <c r="E331">
        <v>7</v>
      </c>
    </row>
    <row r="332" spans="1:5" x14ac:dyDescent="0.25">
      <c r="A332" t="s">
        <v>86</v>
      </c>
      <c r="B332">
        <v>2019</v>
      </c>
      <c r="C332" t="s">
        <v>8</v>
      </c>
      <c r="D332" t="s">
        <v>11</v>
      </c>
      <c r="E332">
        <v>7</v>
      </c>
    </row>
    <row r="333" spans="1:5" x14ac:dyDescent="0.25">
      <c r="A333" t="s">
        <v>86</v>
      </c>
      <c r="B333">
        <v>2019</v>
      </c>
      <c r="C333" t="s">
        <v>9</v>
      </c>
      <c r="D333" t="s">
        <v>6</v>
      </c>
      <c r="E333">
        <v>3</v>
      </c>
    </row>
    <row r="334" spans="1:5" x14ac:dyDescent="0.25">
      <c r="A334" t="s">
        <v>86</v>
      </c>
      <c r="B334">
        <v>2019</v>
      </c>
      <c r="C334" t="s">
        <v>9</v>
      </c>
      <c r="D334" t="s">
        <v>7</v>
      </c>
      <c r="E334">
        <v>6</v>
      </c>
    </row>
    <row r="335" spans="1:5" x14ac:dyDescent="0.25">
      <c r="A335" t="s">
        <v>86</v>
      </c>
      <c r="B335">
        <v>2019</v>
      </c>
      <c r="C335" t="s">
        <v>9</v>
      </c>
      <c r="D335" t="s">
        <v>8</v>
      </c>
      <c r="E335">
        <v>14</v>
      </c>
    </row>
    <row r="336" spans="1:5" x14ac:dyDescent="0.25">
      <c r="A336" t="s">
        <v>86</v>
      </c>
      <c r="B336">
        <v>2019</v>
      </c>
      <c r="C336" t="s">
        <v>9</v>
      </c>
      <c r="D336" t="s">
        <v>9</v>
      </c>
      <c r="E336">
        <v>16</v>
      </c>
    </row>
    <row r="337" spans="1:5" x14ac:dyDescent="0.25">
      <c r="A337" t="s">
        <v>86</v>
      </c>
      <c r="B337">
        <v>2019</v>
      </c>
      <c r="C337" t="s">
        <v>9</v>
      </c>
      <c r="D337" t="s">
        <v>10</v>
      </c>
      <c r="E337">
        <v>11</v>
      </c>
    </row>
    <row r="338" spans="1:5" x14ac:dyDescent="0.25">
      <c r="A338" t="s">
        <v>86</v>
      </c>
      <c r="B338">
        <v>2019</v>
      </c>
      <c r="C338" t="s">
        <v>9</v>
      </c>
      <c r="D338" t="s">
        <v>11</v>
      </c>
      <c r="E338">
        <v>17</v>
      </c>
    </row>
    <row r="339" spans="1:5" x14ac:dyDescent="0.25">
      <c r="A339" t="s">
        <v>86</v>
      </c>
      <c r="B339">
        <v>2019</v>
      </c>
      <c r="C339" t="s">
        <v>10</v>
      </c>
      <c r="D339" t="s">
        <v>6</v>
      </c>
      <c r="E339">
        <v>2</v>
      </c>
    </row>
    <row r="340" spans="1:5" x14ac:dyDescent="0.25">
      <c r="A340" t="s">
        <v>86</v>
      </c>
      <c r="B340">
        <v>2019</v>
      </c>
      <c r="C340" t="s">
        <v>10</v>
      </c>
      <c r="D340" t="s">
        <v>7</v>
      </c>
      <c r="E340">
        <v>5</v>
      </c>
    </row>
    <row r="341" spans="1:5" x14ac:dyDescent="0.25">
      <c r="A341" t="s">
        <v>86</v>
      </c>
      <c r="B341">
        <v>2019</v>
      </c>
      <c r="C341" t="s">
        <v>10</v>
      </c>
      <c r="D341" t="s">
        <v>8</v>
      </c>
      <c r="E341">
        <v>10</v>
      </c>
    </row>
    <row r="342" spans="1:5" x14ac:dyDescent="0.25">
      <c r="A342" t="s">
        <v>86</v>
      </c>
      <c r="B342">
        <v>2019</v>
      </c>
      <c r="C342" t="s">
        <v>10</v>
      </c>
      <c r="D342" t="s">
        <v>9</v>
      </c>
      <c r="E342">
        <v>12</v>
      </c>
    </row>
    <row r="343" spans="1:5" x14ac:dyDescent="0.25">
      <c r="A343" t="s">
        <v>86</v>
      </c>
      <c r="B343">
        <v>2019</v>
      </c>
      <c r="C343" t="s">
        <v>10</v>
      </c>
      <c r="D343" t="s">
        <v>10</v>
      </c>
      <c r="E343">
        <v>17</v>
      </c>
    </row>
    <row r="344" spans="1:5" x14ac:dyDescent="0.25">
      <c r="A344" t="s">
        <v>86</v>
      </c>
      <c r="B344">
        <v>2019</v>
      </c>
      <c r="C344" t="s">
        <v>10</v>
      </c>
      <c r="D344" t="s">
        <v>11</v>
      </c>
      <c r="E344">
        <v>22</v>
      </c>
    </row>
    <row r="345" spans="1:5" x14ac:dyDescent="0.25">
      <c r="A345" t="s">
        <v>86</v>
      </c>
      <c r="B345">
        <v>2019</v>
      </c>
      <c r="C345" t="s">
        <v>10</v>
      </c>
      <c r="D345" t="s">
        <v>71</v>
      </c>
      <c r="E345">
        <v>1</v>
      </c>
    </row>
    <row r="346" spans="1:5" x14ac:dyDescent="0.25">
      <c r="A346" t="s">
        <v>86</v>
      </c>
      <c r="B346">
        <v>2019</v>
      </c>
      <c r="C346" t="s">
        <v>11</v>
      </c>
      <c r="D346" t="s">
        <v>6</v>
      </c>
      <c r="E346">
        <v>1</v>
      </c>
    </row>
    <row r="347" spans="1:5" x14ac:dyDescent="0.25">
      <c r="A347" t="s">
        <v>86</v>
      </c>
      <c r="B347">
        <v>2019</v>
      </c>
      <c r="C347" t="s">
        <v>11</v>
      </c>
      <c r="D347" t="s">
        <v>7</v>
      </c>
      <c r="E347">
        <v>4</v>
      </c>
    </row>
    <row r="348" spans="1:5" x14ac:dyDescent="0.25">
      <c r="A348" t="s">
        <v>86</v>
      </c>
      <c r="B348">
        <v>2019</v>
      </c>
      <c r="C348" t="s">
        <v>11</v>
      </c>
      <c r="D348" t="s">
        <v>8</v>
      </c>
      <c r="E348">
        <v>9</v>
      </c>
    </row>
    <row r="349" spans="1:5" x14ac:dyDescent="0.25">
      <c r="A349" t="s">
        <v>86</v>
      </c>
      <c r="B349">
        <v>2019</v>
      </c>
      <c r="C349" t="s">
        <v>11</v>
      </c>
      <c r="D349" t="s">
        <v>9</v>
      </c>
      <c r="E349">
        <v>17</v>
      </c>
    </row>
    <row r="350" spans="1:5" x14ac:dyDescent="0.25">
      <c r="A350" t="s">
        <v>86</v>
      </c>
      <c r="B350">
        <v>2019</v>
      </c>
      <c r="C350" t="s">
        <v>11</v>
      </c>
      <c r="D350" t="s">
        <v>10</v>
      </c>
      <c r="E350">
        <v>31</v>
      </c>
    </row>
    <row r="351" spans="1:5" x14ac:dyDescent="0.25">
      <c r="A351" t="s">
        <v>86</v>
      </c>
      <c r="B351">
        <v>2019</v>
      </c>
      <c r="C351" t="s">
        <v>11</v>
      </c>
      <c r="D351" t="s">
        <v>11</v>
      </c>
      <c r="E351">
        <v>198</v>
      </c>
    </row>
    <row r="352" spans="1:5" x14ac:dyDescent="0.25">
      <c r="A352" t="s">
        <v>86</v>
      </c>
      <c r="B352">
        <v>2020</v>
      </c>
      <c r="C352" t="s">
        <v>5</v>
      </c>
      <c r="D352" t="s">
        <v>5</v>
      </c>
      <c r="E352">
        <v>2</v>
      </c>
    </row>
    <row r="353" spans="1:5" x14ac:dyDescent="0.25">
      <c r="A353" t="s">
        <v>86</v>
      </c>
      <c r="B353">
        <v>2020</v>
      </c>
      <c r="C353" t="s">
        <v>5</v>
      </c>
      <c r="D353" t="s">
        <v>6</v>
      </c>
      <c r="E353">
        <v>3</v>
      </c>
    </row>
    <row r="354" spans="1:5" x14ac:dyDescent="0.25">
      <c r="A354" t="s">
        <v>86</v>
      </c>
      <c r="B354">
        <v>2020</v>
      </c>
      <c r="C354" t="s">
        <v>5</v>
      </c>
      <c r="D354" t="s">
        <v>7</v>
      </c>
      <c r="E354">
        <v>2</v>
      </c>
    </row>
    <row r="355" spans="1:5" x14ac:dyDescent="0.25">
      <c r="A355" t="s">
        <v>86</v>
      </c>
      <c r="B355">
        <v>2020</v>
      </c>
      <c r="C355" t="s">
        <v>5</v>
      </c>
      <c r="D355" t="s">
        <v>8</v>
      </c>
      <c r="E355">
        <v>1</v>
      </c>
    </row>
    <row r="356" spans="1:5" x14ac:dyDescent="0.25">
      <c r="A356" t="s">
        <v>86</v>
      </c>
      <c r="B356">
        <v>2020</v>
      </c>
      <c r="C356" t="s">
        <v>5</v>
      </c>
      <c r="D356" t="s">
        <v>9</v>
      </c>
      <c r="E356">
        <v>1</v>
      </c>
    </row>
    <row r="357" spans="1:5" x14ac:dyDescent="0.25">
      <c r="A357" t="s">
        <v>86</v>
      </c>
      <c r="B357">
        <v>2020</v>
      </c>
      <c r="C357" t="s">
        <v>5</v>
      </c>
      <c r="D357" t="s">
        <v>11</v>
      </c>
      <c r="E357">
        <v>2</v>
      </c>
    </row>
    <row r="358" spans="1:5" x14ac:dyDescent="0.25">
      <c r="A358" t="s">
        <v>86</v>
      </c>
      <c r="B358">
        <v>2020</v>
      </c>
      <c r="C358" t="s">
        <v>6</v>
      </c>
      <c r="D358" t="s">
        <v>5</v>
      </c>
      <c r="E358">
        <v>2</v>
      </c>
    </row>
    <row r="359" spans="1:5" x14ac:dyDescent="0.25">
      <c r="A359" t="s">
        <v>86</v>
      </c>
      <c r="B359">
        <v>2020</v>
      </c>
      <c r="C359" t="s">
        <v>6</v>
      </c>
      <c r="D359" t="s">
        <v>6</v>
      </c>
      <c r="E359">
        <v>18</v>
      </c>
    </row>
    <row r="360" spans="1:5" x14ac:dyDescent="0.25">
      <c r="A360" t="s">
        <v>86</v>
      </c>
      <c r="B360">
        <v>2020</v>
      </c>
      <c r="C360" t="s">
        <v>6</v>
      </c>
      <c r="D360" t="s">
        <v>7</v>
      </c>
      <c r="E360">
        <v>16</v>
      </c>
    </row>
    <row r="361" spans="1:5" x14ac:dyDescent="0.25">
      <c r="A361" t="s">
        <v>86</v>
      </c>
      <c r="B361">
        <v>2020</v>
      </c>
      <c r="C361" t="s">
        <v>6</v>
      </c>
      <c r="D361" t="s">
        <v>8</v>
      </c>
      <c r="E361">
        <v>4</v>
      </c>
    </row>
    <row r="362" spans="1:5" x14ac:dyDescent="0.25">
      <c r="A362" t="s">
        <v>86</v>
      </c>
      <c r="B362">
        <v>2020</v>
      </c>
      <c r="C362" t="s">
        <v>6</v>
      </c>
      <c r="D362" t="s">
        <v>9</v>
      </c>
      <c r="E362">
        <v>2</v>
      </c>
    </row>
    <row r="363" spans="1:5" x14ac:dyDescent="0.25">
      <c r="A363" t="s">
        <v>86</v>
      </c>
      <c r="B363">
        <v>2020</v>
      </c>
      <c r="C363" t="s">
        <v>6</v>
      </c>
      <c r="D363" t="s">
        <v>11</v>
      </c>
      <c r="E363">
        <v>4</v>
      </c>
    </row>
    <row r="364" spans="1:5" x14ac:dyDescent="0.25">
      <c r="A364" t="s">
        <v>86</v>
      </c>
      <c r="B364">
        <v>2020</v>
      </c>
      <c r="C364" t="s">
        <v>7</v>
      </c>
      <c r="D364" t="s">
        <v>6</v>
      </c>
      <c r="E364">
        <v>10</v>
      </c>
    </row>
    <row r="365" spans="1:5" x14ac:dyDescent="0.25">
      <c r="A365" t="s">
        <v>86</v>
      </c>
      <c r="B365">
        <v>2020</v>
      </c>
      <c r="C365" t="s">
        <v>7</v>
      </c>
      <c r="D365" t="s">
        <v>7</v>
      </c>
      <c r="E365">
        <v>47</v>
      </c>
    </row>
    <row r="366" spans="1:5" x14ac:dyDescent="0.25">
      <c r="A366" t="s">
        <v>86</v>
      </c>
      <c r="B366">
        <v>2020</v>
      </c>
      <c r="C366" t="s">
        <v>7</v>
      </c>
      <c r="D366" t="s">
        <v>8</v>
      </c>
      <c r="E366">
        <v>12</v>
      </c>
    </row>
    <row r="367" spans="1:5" x14ac:dyDescent="0.25">
      <c r="A367" t="s">
        <v>86</v>
      </c>
      <c r="B367">
        <v>2020</v>
      </c>
      <c r="C367" t="s">
        <v>7</v>
      </c>
      <c r="D367" t="s">
        <v>9</v>
      </c>
      <c r="E367">
        <v>2</v>
      </c>
    </row>
    <row r="368" spans="1:5" x14ac:dyDescent="0.25">
      <c r="A368" t="s">
        <v>86</v>
      </c>
      <c r="B368">
        <v>2020</v>
      </c>
      <c r="C368" t="s">
        <v>7</v>
      </c>
      <c r="D368" t="s">
        <v>10</v>
      </c>
      <c r="E368">
        <v>5</v>
      </c>
    </row>
    <row r="369" spans="1:5" x14ac:dyDescent="0.25">
      <c r="A369" t="s">
        <v>86</v>
      </c>
      <c r="B369">
        <v>2020</v>
      </c>
      <c r="C369" t="s">
        <v>7</v>
      </c>
      <c r="D369" t="s">
        <v>11</v>
      </c>
      <c r="E369">
        <v>6</v>
      </c>
    </row>
    <row r="370" spans="1:5" x14ac:dyDescent="0.25">
      <c r="A370" t="s">
        <v>86</v>
      </c>
      <c r="B370">
        <v>2020</v>
      </c>
      <c r="C370" t="s">
        <v>8</v>
      </c>
      <c r="D370" t="s">
        <v>5</v>
      </c>
      <c r="E370">
        <v>1</v>
      </c>
    </row>
    <row r="371" spans="1:5" x14ac:dyDescent="0.25">
      <c r="A371" t="s">
        <v>86</v>
      </c>
      <c r="B371">
        <v>2020</v>
      </c>
      <c r="C371" t="s">
        <v>8</v>
      </c>
      <c r="D371" t="s">
        <v>6</v>
      </c>
      <c r="E371">
        <v>3</v>
      </c>
    </row>
    <row r="372" spans="1:5" x14ac:dyDescent="0.25">
      <c r="A372" t="s">
        <v>86</v>
      </c>
      <c r="B372">
        <v>2020</v>
      </c>
      <c r="C372" t="s">
        <v>8</v>
      </c>
      <c r="D372" t="s">
        <v>7</v>
      </c>
      <c r="E372">
        <v>26</v>
      </c>
    </row>
    <row r="373" spans="1:5" x14ac:dyDescent="0.25">
      <c r="A373" t="s">
        <v>86</v>
      </c>
      <c r="B373">
        <v>2020</v>
      </c>
      <c r="C373" t="s">
        <v>8</v>
      </c>
      <c r="D373" t="s">
        <v>8</v>
      </c>
      <c r="E373">
        <v>32</v>
      </c>
    </row>
    <row r="374" spans="1:5" x14ac:dyDescent="0.25">
      <c r="A374" t="s">
        <v>86</v>
      </c>
      <c r="B374">
        <v>2020</v>
      </c>
      <c r="C374" t="s">
        <v>8</v>
      </c>
      <c r="D374" t="s">
        <v>9</v>
      </c>
      <c r="E374">
        <v>11</v>
      </c>
    </row>
    <row r="375" spans="1:5" x14ac:dyDescent="0.25">
      <c r="A375" t="s">
        <v>86</v>
      </c>
      <c r="B375">
        <v>2020</v>
      </c>
      <c r="C375" t="s">
        <v>8</v>
      </c>
      <c r="D375" t="s">
        <v>10</v>
      </c>
      <c r="E375">
        <v>4</v>
      </c>
    </row>
    <row r="376" spans="1:5" x14ac:dyDescent="0.25">
      <c r="A376" t="s">
        <v>86</v>
      </c>
      <c r="B376">
        <v>2020</v>
      </c>
      <c r="C376" t="s">
        <v>8</v>
      </c>
      <c r="D376" t="s">
        <v>11</v>
      </c>
      <c r="E376">
        <v>13</v>
      </c>
    </row>
    <row r="377" spans="1:5" x14ac:dyDescent="0.25">
      <c r="A377" t="s">
        <v>86</v>
      </c>
      <c r="B377">
        <v>2020</v>
      </c>
      <c r="C377" t="s">
        <v>9</v>
      </c>
      <c r="D377" t="s">
        <v>6</v>
      </c>
      <c r="E377">
        <v>3</v>
      </c>
    </row>
    <row r="378" spans="1:5" x14ac:dyDescent="0.25">
      <c r="A378" t="s">
        <v>86</v>
      </c>
      <c r="B378">
        <v>2020</v>
      </c>
      <c r="C378" t="s">
        <v>9</v>
      </c>
      <c r="D378" t="s">
        <v>7</v>
      </c>
      <c r="E378">
        <v>8</v>
      </c>
    </row>
    <row r="379" spans="1:5" x14ac:dyDescent="0.25">
      <c r="A379" t="s">
        <v>86</v>
      </c>
      <c r="B379">
        <v>2020</v>
      </c>
      <c r="C379" t="s">
        <v>9</v>
      </c>
      <c r="D379" t="s">
        <v>8</v>
      </c>
      <c r="E379">
        <v>19</v>
      </c>
    </row>
    <row r="380" spans="1:5" x14ac:dyDescent="0.25">
      <c r="A380" t="s">
        <v>86</v>
      </c>
      <c r="B380">
        <v>2020</v>
      </c>
      <c r="C380" t="s">
        <v>9</v>
      </c>
      <c r="D380" t="s">
        <v>9</v>
      </c>
      <c r="E380">
        <v>19</v>
      </c>
    </row>
    <row r="381" spans="1:5" x14ac:dyDescent="0.25">
      <c r="A381" t="s">
        <v>86</v>
      </c>
      <c r="B381">
        <v>2020</v>
      </c>
      <c r="C381" t="s">
        <v>9</v>
      </c>
      <c r="D381" t="s">
        <v>10</v>
      </c>
      <c r="E381">
        <v>12</v>
      </c>
    </row>
    <row r="382" spans="1:5" x14ac:dyDescent="0.25">
      <c r="A382" t="s">
        <v>86</v>
      </c>
      <c r="B382">
        <v>2020</v>
      </c>
      <c r="C382" t="s">
        <v>9</v>
      </c>
      <c r="D382" t="s">
        <v>11</v>
      </c>
      <c r="E382">
        <v>20</v>
      </c>
    </row>
    <row r="383" spans="1:5" x14ac:dyDescent="0.25">
      <c r="A383" t="s">
        <v>86</v>
      </c>
      <c r="B383">
        <v>2020</v>
      </c>
      <c r="C383" t="s">
        <v>10</v>
      </c>
      <c r="D383" t="s">
        <v>5</v>
      </c>
      <c r="E383">
        <v>2</v>
      </c>
    </row>
    <row r="384" spans="1:5" x14ac:dyDescent="0.25">
      <c r="A384" t="s">
        <v>86</v>
      </c>
      <c r="B384">
        <v>2020</v>
      </c>
      <c r="C384" t="s">
        <v>10</v>
      </c>
      <c r="D384" t="s">
        <v>6</v>
      </c>
      <c r="E384">
        <v>1</v>
      </c>
    </row>
    <row r="385" spans="1:5" x14ac:dyDescent="0.25">
      <c r="A385" t="s">
        <v>86</v>
      </c>
      <c r="B385">
        <v>2020</v>
      </c>
      <c r="C385" t="s">
        <v>10</v>
      </c>
      <c r="D385" t="s">
        <v>7</v>
      </c>
      <c r="E385">
        <v>4</v>
      </c>
    </row>
    <row r="386" spans="1:5" x14ac:dyDescent="0.25">
      <c r="A386" t="s">
        <v>86</v>
      </c>
      <c r="B386">
        <v>2020</v>
      </c>
      <c r="C386" t="s">
        <v>10</v>
      </c>
      <c r="D386" t="s">
        <v>8</v>
      </c>
      <c r="E386">
        <v>7</v>
      </c>
    </row>
    <row r="387" spans="1:5" x14ac:dyDescent="0.25">
      <c r="A387" t="s">
        <v>86</v>
      </c>
      <c r="B387">
        <v>2020</v>
      </c>
      <c r="C387" t="s">
        <v>10</v>
      </c>
      <c r="D387" t="s">
        <v>9</v>
      </c>
      <c r="E387">
        <v>10</v>
      </c>
    </row>
    <row r="388" spans="1:5" x14ac:dyDescent="0.25">
      <c r="A388" t="s">
        <v>86</v>
      </c>
      <c r="B388">
        <v>2020</v>
      </c>
      <c r="C388" t="s">
        <v>10</v>
      </c>
      <c r="D388" t="s">
        <v>10</v>
      </c>
      <c r="E388">
        <v>23</v>
      </c>
    </row>
    <row r="389" spans="1:5" x14ac:dyDescent="0.25">
      <c r="A389" t="s">
        <v>86</v>
      </c>
      <c r="B389">
        <v>2020</v>
      </c>
      <c r="C389" t="s">
        <v>10</v>
      </c>
      <c r="D389" t="s">
        <v>11</v>
      </c>
      <c r="E389">
        <v>33</v>
      </c>
    </row>
    <row r="390" spans="1:5" x14ac:dyDescent="0.25">
      <c r="A390" t="s">
        <v>86</v>
      </c>
      <c r="B390">
        <v>2020</v>
      </c>
      <c r="C390" t="s">
        <v>11</v>
      </c>
      <c r="D390" t="s">
        <v>5</v>
      </c>
      <c r="E390">
        <v>1</v>
      </c>
    </row>
    <row r="391" spans="1:5" x14ac:dyDescent="0.25">
      <c r="A391" t="s">
        <v>86</v>
      </c>
      <c r="B391">
        <v>2020</v>
      </c>
      <c r="C391" t="s">
        <v>11</v>
      </c>
      <c r="D391" t="s">
        <v>6</v>
      </c>
      <c r="E391">
        <v>6</v>
      </c>
    </row>
    <row r="392" spans="1:5" x14ac:dyDescent="0.25">
      <c r="A392" t="s">
        <v>86</v>
      </c>
      <c r="B392">
        <v>2020</v>
      </c>
      <c r="C392" t="s">
        <v>11</v>
      </c>
      <c r="D392" t="s">
        <v>7</v>
      </c>
      <c r="E392">
        <v>9</v>
      </c>
    </row>
    <row r="393" spans="1:5" x14ac:dyDescent="0.25">
      <c r="A393" t="s">
        <v>86</v>
      </c>
      <c r="B393">
        <v>2020</v>
      </c>
      <c r="C393" t="s">
        <v>11</v>
      </c>
      <c r="D393" t="s">
        <v>8</v>
      </c>
      <c r="E393">
        <v>13</v>
      </c>
    </row>
    <row r="394" spans="1:5" x14ac:dyDescent="0.25">
      <c r="A394" t="s">
        <v>86</v>
      </c>
      <c r="B394">
        <v>2020</v>
      </c>
      <c r="C394" t="s">
        <v>11</v>
      </c>
      <c r="D394" t="s">
        <v>9</v>
      </c>
      <c r="E394">
        <v>20</v>
      </c>
    </row>
    <row r="395" spans="1:5" x14ac:dyDescent="0.25">
      <c r="A395" t="s">
        <v>86</v>
      </c>
      <c r="B395">
        <v>2020</v>
      </c>
      <c r="C395" t="s">
        <v>11</v>
      </c>
      <c r="D395" t="s">
        <v>10</v>
      </c>
      <c r="E395">
        <v>22</v>
      </c>
    </row>
    <row r="396" spans="1:5" x14ac:dyDescent="0.25">
      <c r="A396" t="s">
        <v>86</v>
      </c>
      <c r="B396">
        <v>2020</v>
      </c>
      <c r="C396" t="s">
        <v>11</v>
      </c>
      <c r="D396" t="s">
        <v>11</v>
      </c>
      <c r="E396">
        <v>194</v>
      </c>
    </row>
    <row r="397" spans="1:5" x14ac:dyDescent="0.25">
      <c r="A397" t="s">
        <v>86</v>
      </c>
      <c r="B397">
        <v>2020</v>
      </c>
      <c r="C397" t="s">
        <v>11</v>
      </c>
      <c r="D397" t="s">
        <v>71</v>
      </c>
      <c r="E397">
        <v>2</v>
      </c>
    </row>
    <row r="398" spans="1:5" x14ac:dyDescent="0.25">
      <c r="A398" t="s">
        <v>86</v>
      </c>
      <c r="B398">
        <v>2021</v>
      </c>
      <c r="C398" t="s">
        <v>3</v>
      </c>
      <c r="D398" t="s">
        <v>5</v>
      </c>
      <c r="E398">
        <v>1</v>
      </c>
    </row>
    <row r="399" spans="1:5" x14ac:dyDescent="0.25">
      <c r="A399" t="s">
        <v>86</v>
      </c>
      <c r="B399">
        <v>2021</v>
      </c>
      <c r="C399" t="s">
        <v>3</v>
      </c>
      <c r="D399" t="s">
        <v>10</v>
      </c>
      <c r="E399">
        <v>1</v>
      </c>
    </row>
    <row r="400" spans="1:5" x14ac:dyDescent="0.25">
      <c r="A400" t="s">
        <v>86</v>
      </c>
      <c r="B400">
        <v>2021</v>
      </c>
      <c r="C400" t="s">
        <v>5</v>
      </c>
      <c r="D400" t="s">
        <v>5</v>
      </c>
      <c r="E400">
        <v>4</v>
      </c>
    </row>
    <row r="401" spans="1:5" x14ac:dyDescent="0.25">
      <c r="A401" t="s">
        <v>86</v>
      </c>
      <c r="B401">
        <v>2021</v>
      </c>
      <c r="C401" t="s">
        <v>5</v>
      </c>
      <c r="D401" t="s">
        <v>6</v>
      </c>
      <c r="E401">
        <v>7</v>
      </c>
    </row>
    <row r="402" spans="1:5" x14ac:dyDescent="0.25">
      <c r="A402" t="s">
        <v>86</v>
      </c>
      <c r="B402">
        <v>2021</v>
      </c>
      <c r="C402" t="s">
        <v>5</v>
      </c>
      <c r="D402" t="s">
        <v>7</v>
      </c>
      <c r="E402">
        <v>4</v>
      </c>
    </row>
    <row r="403" spans="1:5" x14ac:dyDescent="0.25">
      <c r="A403" t="s">
        <v>86</v>
      </c>
      <c r="B403">
        <v>2021</v>
      </c>
      <c r="C403" t="s">
        <v>5</v>
      </c>
      <c r="D403" t="s">
        <v>11</v>
      </c>
      <c r="E403">
        <v>1</v>
      </c>
    </row>
    <row r="404" spans="1:5" x14ac:dyDescent="0.25">
      <c r="A404" t="s">
        <v>86</v>
      </c>
      <c r="B404">
        <v>2021</v>
      </c>
      <c r="C404" t="s">
        <v>6</v>
      </c>
      <c r="D404" t="s">
        <v>5</v>
      </c>
      <c r="E404">
        <v>2</v>
      </c>
    </row>
    <row r="405" spans="1:5" x14ac:dyDescent="0.25">
      <c r="A405" t="s">
        <v>86</v>
      </c>
      <c r="B405">
        <v>2021</v>
      </c>
      <c r="C405" t="s">
        <v>6</v>
      </c>
      <c r="D405" t="s">
        <v>6</v>
      </c>
      <c r="E405">
        <v>27</v>
      </c>
    </row>
    <row r="406" spans="1:5" x14ac:dyDescent="0.25">
      <c r="A406" t="s">
        <v>86</v>
      </c>
      <c r="B406">
        <v>2021</v>
      </c>
      <c r="C406" t="s">
        <v>6</v>
      </c>
      <c r="D406" t="s">
        <v>7</v>
      </c>
      <c r="E406">
        <v>28</v>
      </c>
    </row>
    <row r="407" spans="1:5" x14ac:dyDescent="0.25">
      <c r="A407" t="s">
        <v>86</v>
      </c>
      <c r="B407">
        <v>2021</v>
      </c>
      <c r="C407" t="s">
        <v>6</v>
      </c>
      <c r="D407" t="s">
        <v>8</v>
      </c>
      <c r="E407">
        <v>5</v>
      </c>
    </row>
    <row r="408" spans="1:5" x14ac:dyDescent="0.25">
      <c r="A408" t="s">
        <v>86</v>
      </c>
      <c r="B408">
        <v>2021</v>
      </c>
      <c r="C408" t="s">
        <v>6</v>
      </c>
      <c r="D408" t="s">
        <v>9</v>
      </c>
      <c r="E408">
        <v>1</v>
      </c>
    </row>
    <row r="409" spans="1:5" x14ac:dyDescent="0.25">
      <c r="A409" t="s">
        <v>86</v>
      </c>
      <c r="B409">
        <v>2021</v>
      </c>
      <c r="C409" t="s">
        <v>6</v>
      </c>
      <c r="D409" t="s">
        <v>11</v>
      </c>
      <c r="E409">
        <v>3</v>
      </c>
    </row>
    <row r="410" spans="1:5" x14ac:dyDescent="0.25">
      <c r="A410" t="s">
        <v>86</v>
      </c>
      <c r="B410">
        <v>2021</v>
      </c>
      <c r="C410" t="s">
        <v>7</v>
      </c>
      <c r="D410" t="s">
        <v>6</v>
      </c>
      <c r="E410">
        <v>22</v>
      </c>
    </row>
    <row r="411" spans="1:5" x14ac:dyDescent="0.25">
      <c r="A411" t="s">
        <v>86</v>
      </c>
      <c r="B411">
        <v>2021</v>
      </c>
      <c r="C411" t="s">
        <v>7</v>
      </c>
      <c r="D411" t="s">
        <v>7</v>
      </c>
      <c r="E411">
        <v>88</v>
      </c>
    </row>
    <row r="412" spans="1:5" x14ac:dyDescent="0.25">
      <c r="A412" t="s">
        <v>86</v>
      </c>
      <c r="B412">
        <v>2021</v>
      </c>
      <c r="C412" t="s">
        <v>7</v>
      </c>
      <c r="D412" t="s">
        <v>8</v>
      </c>
      <c r="E412">
        <v>31</v>
      </c>
    </row>
    <row r="413" spans="1:5" x14ac:dyDescent="0.25">
      <c r="A413" t="s">
        <v>86</v>
      </c>
      <c r="B413">
        <v>2021</v>
      </c>
      <c r="C413" t="s">
        <v>7</v>
      </c>
      <c r="D413" t="s">
        <v>9</v>
      </c>
      <c r="E413">
        <v>5</v>
      </c>
    </row>
    <row r="414" spans="1:5" x14ac:dyDescent="0.25">
      <c r="A414" t="s">
        <v>86</v>
      </c>
      <c r="B414">
        <v>2021</v>
      </c>
      <c r="C414" t="s">
        <v>7</v>
      </c>
      <c r="D414" t="s">
        <v>10</v>
      </c>
      <c r="E414">
        <v>3</v>
      </c>
    </row>
    <row r="415" spans="1:5" x14ac:dyDescent="0.25">
      <c r="A415" t="s">
        <v>86</v>
      </c>
      <c r="B415">
        <v>2021</v>
      </c>
      <c r="C415" t="s">
        <v>7</v>
      </c>
      <c r="D415" t="s">
        <v>11</v>
      </c>
      <c r="E415">
        <v>4</v>
      </c>
    </row>
    <row r="416" spans="1:5" x14ac:dyDescent="0.25">
      <c r="A416" t="s">
        <v>86</v>
      </c>
      <c r="B416">
        <v>2021</v>
      </c>
      <c r="C416" t="s">
        <v>8</v>
      </c>
      <c r="D416" t="s">
        <v>5</v>
      </c>
      <c r="E416">
        <v>1</v>
      </c>
    </row>
    <row r="417" spans="1:5" x14ac:dyDescent="0.25">
      <c r="A417" t="s">
        <v>86</v>
      </c>
      <c r="B417">
        <v>2021</v>
      </c>
      <c r="C417" t="s">
        <v>8</v>
      </c>
      <c r="D417" t="s">
        <v>6</v>
      </c>
      <c r="E417">
        <v>9</v>
      </c>
    </row>
    <row r="418" spans="1:5" x14ac:dyDescent="0.25">
      <c r="A418" t="s">
        <v>86</v>
      </c>
      <c r="B418">
        <v>2021</v>
      </c>
      <c r="C418" t="s">
        <v>8</v>
      </c>
      <c r="D418" t="s">
        <v>7</v>
      </c>
      <c r="E418">
        <v>33</v>
      </c>
    </row>
    <row r="419" spans="1:5" x14ac:dyDescent="0.25">
      <c r="A419" t="s">
        <v>86</v>
      </c>
      <c r="B419">
        <v>2021</v>
      </c>
      <c r="C419" t="s">
        <v>8</v>
      </c>
      <c r="D419" t="s">
        <v>8</v>
      </c>
      <c r="E419">
        <v>34</v>
      </c>
    </row>
    <row r="420" spans="1:5" x14ac:dyDescent="0.25">
      <c r="A420" t="s">
        <v>86</v>
      </c>
      <c r="B420">
        <v>2021</v>
      </c>
      <c r="C420" t="s">
        <v>8</v>
      </c>
      <c r="D420" t="s">
        <v>9</v>
      </c>
      <c r="E420">
        <v>11</v>
      </c>
    </row>
    <row r="421" spans="1:5" x14ac:dyDescent="0.25">
      <c r="A421" t="s">
        <v>86</v>
      </c>
      <c r="B421">
        <v>2021</v>
      </c>
      <c r="C421" t="s">
        <v>8</v>
      </c>
      <c r="D421" t="s">
        <v>10</v>
      </c>
      <c r="E421">
        <v>4</v>
      </c>
    </row>
    <row r="422" spans="1:5" x14ac:dyDescent="0.25">
      <c r="A422" t="s">
        <v>86</v>
      </c>
      <c r="B422">
        <v>2021</v>
      </c>
      <c r="C422" t="s">
        <v>8</v>
      </c>
      <c r="D422" t="s">
        <v>11</v>
      </c>
      <c r="E422">
        <v>7</v>
      </c>
    </row>
    <row r="423" spans="1:5" x14ac:dyDescent="0.25">
      <c r="A423" t="s">
        <v>86</v>
      </c>
      <c r="B423">
        <v>2021</v>
      </c>
      <c r="C423" t="s">
        <v>9</v>
      </c>
      <c r="D423" t="s">
        <v>5</v>
      </c>
      <c r="E423">
        <v>2</v>
      </c>
    </row>
    <row r="424" spans="1:5" x14ac:dyDescent="0.25">
      <c r="A424" t="s">
        <v>86</v>
      </c>
      <c r="B424">
        <v>2021</v>
      </c>
      <c r="C424" t="s">
        <v>9</v>
      </c>
      <c r="D424" t="s">
        <v>6</v>
      </c>
      <c r="E424">
        <v>11</v>
      </c>
    </row>
    <row r="425" spans="1:5" x14ac:dyDescent="0.25">
      <c r="A425" t="s">
        <v>86</v>
      </c>
      <c r="B425">
        <v>2021</v>
      </c>
      <c r="C425" t="s">
        <v>9</v>
      </c>
      <c r="D425" t="s">
        <v>7</v>
      </c>
      <c r="E425">
        <v>24</v>
      </c>
    </row>
    <row r="426" spans="1:5" x14ac:dyDescent="0.25">
      <c r="A426" t="s">
        <v>86</v>
      </c>
      <c r="B426">
        <v>2021</v>
      </c>
      <c r="C426" t="s">
        <v>9</v>
      </c>
      <c r="D426" t="s">
        <v>8</v>
      </c>
      <c r="E426">
        <v>6</v>
      </c>
    </row>
    <row r="427" spans="1:5" x14ac:dyDescent="0.25">
      <c r="A427" t="s">
        <v>86</v>
      </c>
      <c r="B427">
        <v>2021</v>
      </c>
      <c r="C427" t="s">
        <v>9</v>
      </c>
      <c r="D427" t="s">
        <v>9</v>
      </c>
      <c r="E427">
        <v>12</v>
      </c>
    </row>
    <row r="428" spans="1:5" x14ac:dyDescent="0.25">
      <c r="A428" t="s">
        <v>86</v>
      </c>
      <c r="B428">
        <v>2021</v>
      </c>
      <c r="C428" t="s">
        <v>9</v>
      </c>
      <c r="D428" t="s">
        <v>11</v>
      </c>
      <c r="E428">
        <v>5</v>
      </c>
    </row>
    <row r="429" spans="1:5" x14ac:dyDescent="0.25">
      <c r="A429" t="s">
        <v>86</v>
      </c>
      <c r="B429">
        <v>2021</v>
      </c>
      <c r="C429" t="s">
        <v>10</v>
      </c>
      <c r="D429" t="s">
        <v>5</v>
      </c>
      <c r="E429">
        <v>1</v>
      </c>
    </row>
    <row r="430" spans="1:5" x14ac:dyDescent="0.25">
      <c r="A430" t="s">
        <v>86</v>
      </c>
      <c r="B430">
        <v>2021</v>
      </c>
      <c r="C430" t="s">
        <v>10</v>
      </c>
      <c r="D430" t="s">
        <v>6</v>
      </c>
      <c r="E430">
        <v>8</v>
      </c>
    </row>
    <row r="431" spans="1:5" x14ac:dyDescent="0.25">
      <c r="A431" t="s">
        <v>86</v>
      </c>
      <c r="B431">
        <v>2021</v>
      </c>
      <c r="C431" t="s">
        <v>10</v>
      </c>
      <c r="D431" t="s">
        <v>7</v>
      </c>
      <c r="E431">
        <v>27</v>
      </c>
    </row>
    <row r="432" spans="1:5" x14ac:dyDescent="0.25">
      <c r="A432" t="s">
        <v>86</v>
      </c>
      <c r="B432">
        <v>2021</v>
      </c>
      <c r="C432" t="s">
        <v>10</v>
      </c>
      <c r="D432" t="s">
        <v>8</v>
      </c>
      <c r="E432">
        <v>5</v>
      </c>
    </row>
    <row r="433" spans="1:5" x14ac:dyDescent="0.25">
      <c r="A433" t="s">
        <v>86</v>
      </c>
      <c r="B433">
        <v>2021</v>
      </c>
      <c r="C433" t="s">
        <v>10</v>
      </c>
      <c r="D433" t="s">
        <v>9</v>
      </c>
      <c r="E433">
        <v>1</v>
      </c>
    </row>
    <row r="434" spans="1:5" x14ac:dyDescent="0.25">
      <c r="A434" t="s">
        <v>86</v>
      </c>
      <c r="B434">
        <v>2021</v>
      </c>
      <c r="C434" t="s">
        <v>10</v>
      </c>
      <c r="D434" t="s">
        <v>10</v>
      </c>
      <c r="E434">
        <v>1</v>
      </c>
    </row>
    <row r="435" spans="1:5" x14ac:dyDescent="0.25">
      <c r="A435" t="s">
        <v>86</v>
      </c>
      <c r="B435">
        <v>2021</v>
      </c>
      <c r="C435" t="s">
        <v>10</v>
      </c>
      <c r="D435" t="s">
        <v>11</v>
      </c>
      <c r="E435">
        <v>4</v>
      </c>
    </row>
    <row r="436" spans="1:5" x14ac:dyDescent="0.25">
      <c r="A436" t="s">
        <v>86</v>
      </c>
      <c r="B436">
        <v>2021</v>
      </c>
      <c r="C436" t="s">
        <v>11</v>
      </c>
      <c r="D436" t="s">
        <v>5</v>
      </c>
      <c r="E436">
        <v>1</v>
      </c>
    </row>
    <row r="437" spans="1:5" x14ac:dyDescent="0.25">
      <c r="A437" t="s">
        <v>86</v>
      </c>
      <c r="B437">
        <v>2021</v>
      </c>
      <c r="C437" t="s">
        <v>11</v>
      </c>
      <c r="D437" t="s">
        <v>6</v>
      </c>
      <c r="E437">
        <v>35</v>
      </c>
    </row>
    <row r="438" spans="1:5" x14ac:dyDescent="0.25">
      <c r="A438" t="s">
        <v>86</v>
      </c>
      <c r="B438">
        <v>2021</v>
      </c>
      <c r="C438" t="s">
        <v>11</v>
      </c>
      <c r="D438" t="s">
        <v>7</v>
      </c>
      <c r="E438">
        <v>95</v>
      </c>
    </row>
    <row r="439" spans="1:5" x14ac:dyDescent="0.25">
      <c r="A439" t="s">
        <v>86</v>
      </c>
      <c r="B439">
        <v>2021</v>
      </c>
      <c r="C439" t="s">
        <v>11</v>
      </c>
      <c r="D439" t="s">
        <v>8</v>
      </c>
      <c r="E439">
        <v>49</v>
      </c>
    </row>
    <row r="440" spans="1:5" x14ac:dyDescent="0.25">
      <c r="A440" t="s">
        <v>86</v>
      </c>
      <c r="B440">
        <v>2021</v>
      </c>
      <c r="C440" t="s">
        <v>11</v>
      </c>
      <c r="D440" t="s">
        <v>9</v>
      </c>
      <c r="E440">
        <v>14</v>
      </c>
    </row>
    <row r="441" spans="1:5" x14ac:dyDescent="0.25">
      <c r="A441" t="s">
        <v>86</v>
      </c>
      <c r="B441">
        <v>2021</v>
      </c>
      <c r="C441" t="s">
        <v>11</v>
      </c>
      <c r="D441" t="s">
        <v>10</v>
      </c>
      <c r="E441">
        <v>2</v>
      </c>
    </row>
    <row r="442" spans="1:5" x14ac:dyDescent="0.25">
      <c r="A442" t="s">
        <v>86</v>
      </c>
      <c r="B442">
        <v>2021</v>
      </c>
      <c r="C442" t="s">
        <v>11</v>
      </c>
      <c r="D442" t="s">
        <v>11</v>
      </c>
      <c r="E442">
        <v>12</v>
      </c>
    </row>
    <row r="443" spans="1:5" x14ac:dyDescent="0.25">
      <c r="A443" t="s">
        <v>86</v>
      </c>
      <c r="B443">
        <v>2021</v>
      </c>
      <c r="C443" t="s">
        <v>11</v>
      </c>
      <c r="D443" t="s">
        <v>71</v>
      </c>
      <c r="E443">
        <v>2</v>
      </c>
    </row>
    <row r="444" spans="1:5" x14ac:dyDescent="0.25">
      <c r="A444" t="s">
        <v>86</v>
      </c>
      <c r="B444">
        <v>2022</v>
      </c>
      <c r="C444" t="s">
        <v>5</v>
      </c>
      <c r="D444" t="s">
        <v>5</v>
      </c>
      <c r="E444">
        <v>2</v>
      </c>
    </row>
    <row r="445" spans="1:5" x14ac:dyDescent="0.25">
      <c r="A445" t="s">
        <v>86</v>
      </c>
      <c r="B445">
        <v>2022</v>
      </c>
      <c r="C445" t="s">
        <v>6</v>
      </c>
      <c r="D445" t="s">
        <v>5</v>
      </c>
      <c r="E445">
        <v>1</v>
      </c>
    </row>
    <row r="446" spans="1:5" x14ac:dyDescent="0.25">
      <c r="A446" t="s">
        <v>86</v>
      </c>
      <c r="B446">
        <v>2022</v>
      </c>
      <c r="C446" t="s">
        <v>6</v>
      </c>
      <c r="D446" t="s">
        <v>6</v>
      </c>
      <c r="E446">
        <v>7</v>
      </c>
    </row>
    <row r="447" spans="1:5" x14ac:dyDescent="0.25">
      <c r="A447" t="s">
        <v>86</v>
      </c>
      <c r="B447">
        <v>2022</v>
      </c>
      <c r="C447" t="s">
        <v>6</v>
      </c>
      <c r="D447" t="s">
        <v>7</v>
      </c>
      <c r="E447">
        <v>7</v>
      </c>
    </row>
    <row r="448" spans="1:5" x14ac:dyDescent="0.25">
      <c r="A448" t="s">
        <v>86</v>
      </c>
      <c r="B448">
        <v>2022</v>
      </c>
      <c r="C448" t="s">
        <v>6</v>
      </c>
      <c r="D448" t="s">
        <v>71</v>
      </c>
      <c r="E448">
        <v>1</v>
      </c>
    </row>
    <row r="449" spans="1:5" x14ac:dyDescent="0.25">
      <c r="A449" t="s">
        <v>86</v>
      </c>
      <c r="B449">
        <v>2022</v>
      </c>
      <c r="C449" t="s">
        <v>7</v>
      </c>
      <c r="D449" t="s">
        <v>6</v>
      </c>
      <c r="E449">
        <v>5</v>
      </c>
    </row>
    <row r="450" spans="1:5" x14ac:dyDescent="0.25">
      <c r="A450" t="s">
        <v>86</v>
      </c>
      <c r="B450">
        <v>2022</v>
      </c>
      <c r="C450" t="s">
        <v>7</v>
      </c>
      <c r="D450" t="s">
        <v>7</v>
      </c>
      <c r="E450">
        <v>25</v>
      </c>
    </row>
    <row r="451" spans="1:5" x14ac:dyDescent="0.25">
      <c r="A451" t="s">
        <v>86</v>
      </c>
      <c r="B451">
        <v>2022</v>
      </c>
      <c r="C451" t="s">
        <v>7</v>
      </c>
      <c r="D451" t="s">
        <v>8</v>
      </c>
      <c r="E451">
        <v>3</v>
      </c>
    </row>
    <row r="452" spans="1:5" x14ac:dyDescent="0.25">
      <c r="A452" t="s">
        <v>86</v>
      </c>
      <c r="B452">
        <v>2022</v>
      </c>
      <c r="C452" t="s">
        <v>7</v>
      </c>
      <c r="D452" t="s">
        <v>71</v>
      </c>
      <c r="E452">
        <v>1</v>
      </c>
    </row>
    <row r="453" spans="1:5" x14ac:dyDescent="0.25">
      <c r="A453" t="s">
        <v>86</v>
      </c>
      <c r="B453">
        <v>2022</v>
      </c>
      <c r="C453" t="s">
        <v>8</v>
      </c>
      <c r="D453" t="s">
        <v>7</v>
      </c>
      <c r="E453">
        <v>6</v>
      </c>
    </row>
    <row r="454" spans="1:5" x14ac:dyDescent="0.25">
      <c r="A454" t="s">
        <v>86</v>
      </c>
      <c r="B454">
        <v>2022</v>
      </c>
      <c r="C454" t="s">
        <v>8</v>
      </c>
      <c r="D454" t="s">
        <v>8</v>
      </c>
      <c r="E454">
        <v>8</v>
      </c>
    </row>
    <row r="455" spans="1:5" x14ac:dyDescent="0.25">
      <c r="A455" t="s">
        <v>86</v>
      </c>
      <c r="B455">
        <v>2022</v>
      </c>
      <c r="C455" t="s">
        <v>8</v>
      </c>
      <c r="D455" t="s">
        <v>9</v>
      </c>
      <c r="E455">
        <v>3</v>
      </c>
    </row>
    <row r="456" spans="1:5" x14ac:dyDescent="0.25">
      <c r="A456" t="s">
        <v>86</v>
      </c>
      <c r="B456">
        <v>2022</v>
      </c>
      <c r="C456" t="s">
        <v>8</v>
      </c>
      <c r="D456" t="s">
        <v>10</v>
      </c>
      <c r="E456">
        <v>2</v>
      </c>
    </row>
    <row r="457" spans="1:5" x14ac:dyDescent="0.25">
      <c r="A457" t="s">
        <v>86</v>
      </c>
      <c r="B457">
        <v>2022</v>
      </c>
      <c r="C457" t="s">
        <v>8</v>
      </c>
      <c r="D457" t="s">
        <v>71</v>
      </c>
      <c r="E457">
        <v>4</v>
      </c>
    </row>
    <row r="458" spans="1:5" x14ac:dyDescent="0.25">
      <c r="A458" t="s">
        <v>86</v>
      </c>
      <c r="B458">
        <v>2022</v>
      </c>
      <c r="C458" t="s">
        <v>9</v>
      </c>
      <c r="D458" t="s">
        <v>6</v>
      </c>
      <c r="E458">
        <v>1</v>
      </c>
    </row>
    <row r="459" spans="1:5" x14ac:dyDescent="0.25">
      <c r="A459" t="s">
        <v>86</v>
      </c>
      <c r="B459">
        <v>2022</v>
      </c>
      <c r="C459" t="s">
        <v>9</v>
      </c>
      <c r="D459" t="s">
        <v>7</v>
      </c>
      <c r="E459">
        <v>1</v>
      </c>
    </row>
    <row r="460" spans="1:5" x14ac:dyDescent="0.25">
      <c r="A460" t="s">
        <v>86</v>
      </c>
      <c r="B460">
        <v>2022</v>
      </c>
      <c r="C460" t="s">
        <v>9</v>
      </c>
      <c r="D460" t="s">
        <v>8</v>
      </c>
      <c r="E460">
        <v>2</v>
      </c>
    </row>
    <row r="461" spans="1:5" x14ac:dyDescent="0.25">
      <c r="A461" t="s">
        <v>86</v>
      </c>
      <c r="B461">
        <v>2022</v>
      </c>
      <c r="C461" t="s">
        <v>9</v>
      </c>
      <c r="D461" t="s">
        <v>9</v>
      </c>
      <c r="E461">
        <v>1</v>
      </c>
    </row>
    <row r="462" spans="1:5" x14ac:dyDescent="0.25">
      <c r="A462" t="s">
        <v>86</v>
      </c>
      <c r="B462">
        <v>2022</v>
      </c>
      <c r="C462" t="s">
        <v>9</v>
      </c>
      <c r="D462" t="s">
        <v>71</v>
      </c>
      <c r="E462">
        <v>3</v>
      </c>
    </row>
    <row r="463" spans="1:5" x14ac:dyDescent="0.25">
      <c r="A463" t="s">
        <v>86</v>
      </c>
      <c r="B463">
        <v>2022</v>
      </c>
      <c r="C463" t="s">
        <v>10</v>
      </c>
      <c r="D463" t="s">
        <v>11</v>
      </c>
      <c r="E463">
        <v>1</v>
      </c>
    </row>
    <row r="464" spans="1:5" x14ac:dyDescent="0.25">
      <c r="A464" t="s">
        <v>86</v>
      </c>
      <c r="B464">
        <v>2022</v>
      </c>
      <c r="C464" t="s">
        <v>10</v>
      </c>
      <c r="D464" t="s">
        <v>71</v>
      </c>
      <c r="E464">
        <v>1</v>
      </c>
    </row>
    <row r="465" spans="1:5" x14ac:dyDescent="0.25">
      <c r="A465" t="s">
        <v>86</v>
      </c>
      <c r="B465">
        <v>2022</v>
      </c>
      <c r="C465" t="s">
        <v>11</v>
      </c>
      <c r="D465" t="s">
        <v>6</v>
      </c>
      <c r="E465">
        <v>1</v>
      </c>
    </row>
    <row r="466" spans="1:5" x14ac:dyDescent="0.25">
      <c r="A466" t="s">
        <v>86</v>
      </c>
      <c r="B466">
        <v>2022</v>
      </c>
      <c r="C466" t="s">
        <v>11</v>
      </c>
      <c r="D466" t="s">
        <v>7</v>
      </c>
      <c r="E466">
        <v>4</v>
      </c>
    </row>
    <row r="467" spans="1:5" x14ac:dyDescent="0.25">
      <c r="A467" t="s">
        <v>86</v>
      </c>
      <c r="B467">
        <v>2022</v>
      </c>
      <c r="C467" t="s">
        <v>11</v>
      </c>
      <c r="D467" t="s">
        <v>9</v>
      </c>
      <c r="E467">
        <v>1</v>
      </c>
    </row>
    <row r="468" spans="1:5" x14ac:dyDescent="0.25">
      <c r="A468" t="s">
        <v>86</v>
      </c>
      <c r="B468">
        <v>2022</v>
      </c>
      <c r="C468" t="s">
        <v>11</v>
      </c>
      <c r="D468" t="s">
        <v>10</v>
      </c>
      <c r="E468">
        <v>1</v>
      </c>
    </row>
    <row r="469" spans="1:5" x14ac:dyDescent="0.25">
      <c r="A469" t="s">
        <v>86</v>
      </c>
      <c r="B469">
        <v>2022</v>
      </c>
      <c r="C469" t="s">
        <v>11</v>
      </c>
      <c r="D469" t="s">
        <v>71</v>
      </c>
      <c r="E469">
        <v>3</v>
      </c>
    </row>
  </sheetData>
  <autoFilter ref="A1:E469" xr:uid="{FCB2527F-BF84-4276-9BC7-790CAC764551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28A66-B9F6-40FD-8A24-8240CD1D007D}">
  <sheetPr codeName="Sheet8">
    <tabColor theme="0" tint="-0.249977111117893"/>
  </sheetPr>
  <dimension ref="A1:E277"/>
  <sheetViews>
    <sheetView workbookViewId="0">
      <selection activeCell="Q40" sqref="Q40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82</v>
      </c>
      <c r="C1" s="56" t="s">
        <v>83</v>
      </c>
      <c r="D1" s="56" t="s">
        <v>75</v>
      </c>
      <c r="E1" s="56" t="s">
        <v>23</v>
      </c>
    </row>
    <row r="2" spans="1:5" x14ac:dyDescent="0.25">
      <c r="A2" t="s">
        <v>70</v>
      </c>
      <c r="B2">
        <v>2016</v>
      </c>
      <c r="C2" s="57">
        <v>42400</v>
      </c>
      <c r="D2">
        <v>0</v>
      </c>
      <c r="E2">
        <v>125</v>
      </c>
    </row>
    <row r="3" spans="1:5" x14ac:dyDescent="0.25">
      <c r="A3" t="s">
        <v>70</v>
      </c>
      <c r="B3">
        <v>2016</v>
      </c>
      <c r="C3" s="57">
        <v>42429</v>
      </c>
      <c r="D3">
        <v>0</v>
      </c>
      <c r="E3">
        <v>125</v>
      </c>
    </row>
    <row r="4" spans="1:5" x14ac:dyDescent="0.25">
      <c r="A4" t="s">
        <v>70</v>
      </c>
      <c r="B4">
        <v>2016</v>
      </c>
      <c r="C4" s="57">
        <v>42460</v>
      </c>
      <c r="D4">
        <v>0</v>
      </c>
      <c r="E4">
        <v>125</v>
      </c>
    </row>
    <row r="5" spans="1:5" x14ac:dyDescent="0.25">
      <c r="A5" t="s">
        <v>70</v>
      </c>
      <c r="B5">
        <v>2016</v>
      </c>
      <c r="C5" s="57">
        <v>42490</v>
      </c>
      <c r="D5">
        <v>0</v>
      </c>
      <c r="E5">
        <v>126</v>
      </c>
    </row>
    <row r="6" spans="1:5" x14ac:dyDescent="0.25">
      <c r="A6" t="s">
        <v>70</v>
      </c>
      <c r="B6">
        <v>2016</v>
      </c>
      <c r="C6" s="57">
        <v>42521</v>
      </c>
      <c r="D6">
        <v>0</v>
      </c>
      <c r="E6">
        <v>128</v>
      </c>
    </row>
    <row r="7" spans="1:5" x14ac:dyDescent="0.25">
      <c r="A7" t="s">
        <v>70</v>
      </c>
      <c r="B7">
        <v>2016</v>
      </c>
      <c r="C7" s="57">
        <v>42551</v>
      </c>
      <c r="D7">
        <v>0</v>
      </c>
      <c r="E7">
        <v>130</v>
      </c>
    </row>
    <row r="8" spans="1:5" x14ac:dyDescent="0.25">
      <c r="A8" t="s">
        <v>70</v>
      </c>
      <c r="B8">
        <v>2016</v>
      </c>
      <c r="C8" s="57">
        <v>42582</v>
      </c>
      <c r="D8">
        <v>0</v>
      </c>
      <c r="E8">
        <v>127</v>
      </c>
    </row>
    <row r="9" spans="1:5" x14ac:dyDescent="0.25">
      <c r="A9" t="s">
        <v>70</v>
      </c>
      <c r="B9">
        <v>2016</v>
      </c>
      <c r="C9" s="57">
        <v>42613</v>
      </c>
      <c r="D9">
        <v>1</v>
      </c>
      <c r="E9">
        <v>127</v>
      </c>
    </row>
    <row r="10" spans="1:5" x14ac:dyDescent="0.25">
      <c r="A10" t="s">
        <v>70</v>
      </c>
      <c r="B10">
        <v>2016</v>
      </c>
      <c r="C10" s="57">
        <v>42643</v>
      </c>
      <c r="D10">
        <v>1</v>
      </c>
      <c r="E10">
        <v>127</v>
      </c>
    </row>
    <row r="11" spans="1:5" x14ac:dyDescent="0.25">
      <c r="A11" t="s">
        <v>70</v>
      </c>
      <c r="B11">
        <v>2016</v>
      </c>
      <c r="C11" s="57">
        <v>42674</v>
      </c>
      <c r="D11">
        <v>1</v>
      </c>
      <c r="E11">
        <v>130</v>
      </c>
    </row>
    <row r="12" spans="1:5" x14ac:dyDescent="0.25">
      <c r="A12" t="s">
        <v>70</v>
      </c>
      <c r="B12">
        <v>2016</v>
      </c>
      <c r="C12" s="57">
        <v>42704</v>
      </c>
      <c r="D12">
        <v>2</v>
      </c>
      <c r="E12">
        <v>129</v>
      </c>
    </row>
    <row r="13" spans="1:5" x14ac:dyDescent="0.25">
      <c r="A13" t="s">
        <v>70</v>
      </c>
      <c r="B13">
        <v>2016</v>
      </c>
      <c r="C13" s="57">
        <v>42735</v>
      </c>
      <c r="D13">
        <v>2</v>
      </c>
      <c r="E13">
        <v>130</v>
      </c>
    </row>
    <row r="14" spans="1:5" x14ac:dyDescent="0.25">
      <c r="A14" t="s">
        <v>70</v>
      </c>
      <c r="B14">
        <v>2017</v>
      </c>
      <c r="C14" s="57">
        <v>42766</v>
      </c>
      <c r="D14">
        <v>1</v>
      </c>
      <c r="E14">
        <v>129</v>
      </c>
    </row>
    <row r="15" spans="1:5" x14ac:dyDescent="0.25">
      <c r="A15" t="s">
        <v>70</v>
      </c>
      <c r="B15">
        <v>2017</v>
      </c>
      <c r="C15" s="57">
        <v>42794</v>
      </c>
      <c r="D15">
        <v>2</v>
      </c>
      <c r="E15">
        <v>128</v>
      </c>
    </row>
    <row r="16" spans="1:5" x14ac:dyDescent="0.25">
      <c r="A16" t="s">
        <v>70</v>
      </c>
      <c r="B16">
        <v>2017</v>
      </c>
      <c r="C16" s="57">
        <v>42825</v>
      </c>
      <c r="D16">
        <v>2</v>
      </c>
      <c r="E16">
        <v>127</v>
      </c>
    </row>
    <row r="17" spans="1:5" x14ac:dyDescent="0.25">
      <c r="A17" t="s">
        <v>70</v>
      </c>
      <c r="B17">
        <v>2017</v>
      </c>
      <c r="C17" s="57">
        <v>42855</v>
      </c>
      <c r="D17">
        <v>2</v>
      </c>
      <c r="E17">
        <v>127</v>
      </c>
    </row>
    <row r="18" spans="1:5" x14ac:dyDescent="0.25">
      <c r="A18" t="s">
        <v>70</v>
      </c>
      <c r="B18">
        <v>2017</v>
      </c>
      <c r="C18" s="57">
        <v>42886</v>
      </c>
      <c r="D18">
        <v>2</v>
      </c>
      <c r="E18">
        <v>127</v>
      </c>
    </row>
    <row r="19" spans="1:5" x14ac:dyDescent="0.25">
      <c r="A19" t="s">
        <v>70</v>
      </c>
      <c r="B19">
        <v>2017</v>
      </c>
      <c r="C19" s="57">
        <v>42916</v>
      </c>
      <c r="D19">
        <v>2</v>
      </c>
      <c r="E19">
        <v>131</v>
      </c>
    </row>
    <row r="20" spans="1:5" x14ac:dyDescent="0.25">
      <c r="A20" t="s">
        <v>70</v>
      </c>
      <c r="B20">
        <v>2017</v>
      </c>
      <c r="C20" s="57">
        <v>42947</v>
      </c>
      <c r="D20">
        <v>2</v>
      </c>
      <c r="E20">
        <v>132</v>
      </c>
    </row>
    <row r="21" spans="1:5" x14ac:dyDescent="0.25">
      <c r="A21" t="s">
        <v>70</v>
      </c>
      <c r="B21">
        <v>2017</v>
      </c>
      <c r="C21" s="57">
        <v>42978</v>
      </c>
      <c r="D21">
        <v>1</v>
      </c>
      <c r="E21">
        <v>131</v>
      </c>
    </row>
    <row r="22" spans="1:5" x14ac:dyDescent="0.25">
      <c r="A22" t="s">
        <v>70</v>
      </c>
      <c r="B22">
        <v>2017</v>
      </c>
      <c r="C22" s="57">
        <v>43008</v>
      </c>
      <c r="D22">
        <v>1</v>
      </c>
      <c r="E22">
        <v>131</v>
      </c>
    </row>
    <row r="23" spans="1:5" x14ac:dyDescent="0.25">
      <c r="A23" t="s">
        <v>70</v>
      </c>
      <c r="B23">
        <v>2017</v>
      </c>
      <c r="C23" s="57">
        <v>43039</v>
      </c>
      <c r="D23">
        <v>1</v>
      </c>
      <c r="E23">
        <v>129</v>
      </c>
    </row>
    <row r="24" spans="1:5" x14ac:dyDescent="0.25">
      <c r="A24" t="s">
        <v>70</v>
      </c>
      <c r="B24">
        <v>2017</v>
      </c>
      <c r="C24" s="57">
        <v>43069</v>
      </c>
      <c r="D24">
        <v>1</v>
      </c>
      <c r="E24">
        <v>140</v>
      </c>
    </row>
    <row r="25" spans="1:5" x14ac:dyDescent="0.25">
      <c r="A25" t="s">
        <v>70</v>
      </c>
      <c r="B25">
        <v>2017</v>
      </c>
      <c r="C25" s="57">
        <v>43100</v>
      </c>
      <c r="D25">
        <v>2</v>
      </c>
      <c r="E25">
        <v>146</v>
      </c>
    </row>
    <row r="26" spans="1:5" x14ac:dyDescent="0.25">
      <c r="A26" t="s">
        <v>70</v>
      </c>
      <c r="B26">
        <v>2018</v>
      </c>
      <c r="C26" s="57">
        <v>43131</v>
      </c>
      <c r="D26">
        <v>3</v>
      </c>
      <c r="E26">
        <v>234</v>
      </c>
    </row>
    <row r="27" spans="1:5" x14ac:dyDescent="0.25">
      <c r="A27" t="s">
        <v>70</v>
      </c>
      <c r="B27">
        <v>2018</v>
      </c>
      <c r="C27" s="57">
        <v>43159</v>
      </c>
      <c r="D27">
        <v>2</v>
      </c>
      <c r="E27">
        <v>233</v>
      </c>
    </row>
    <row r="28" spans="1:5" x14ac:dyDescent="0.25">
      <c r="A28" t="s">
        <v>70</v>
      </c>
      <c r="B28">
        <v>2018</v>
      </c>
      <c r="C28" s="57">
        <v>43190</v>
      </c>
      <c r="D28">
        <v>2</v>
      </c>
      <c r="E28">
        <v>238</v>
      </c>
    </row>
    <row r="29" spans="1:5" x14ac:dyDescent="0.25">
      <c r="A29" t="s">
        <v>70</v>
      </c>
      <c r="B29">
        <v>2018</v>
      </c>
      <c r="C29" s="57">
        <v>43220</v>
      </c>
      <c r="D29">
        <v>2</v>
      </c>
      <c r="E29">
        <v>244</v>
      </c>
    </row>
    <row r="30" spans="1:5" x14ac:dyDescent="0.25">
      <c r="A30" t="s">
        <v>70</v>
      </c>
      <c r="B30">
        <v>2018</v>
      </c>
      <c r="C30" s="57">
        <v>43251</v>
      </c>
      <c r="D30">
        <v>2</v>
      </c>
      <c r="E30">
        <v>245</v>
      </c>
    </row>
    <row r="31" spans="1:5" x14ac:dyDescent="0.25">
      <c r="A31" t="s">
        <v>70</v>
      </c>
      <c r="B31">
        <v>2018</v>
      </c>
      <c r="C31" s="57">
        <v>43281</v>
      </c>
      <c r="D31">
        <v>2</v>
      </c>
      <c r="E31">
        <v>250</v>
      </c>
    </row>
    <row r="32" spans="1:5" x14ac:dyDescent="0.25">
      <c r="A32" t="s">
        <v>70</v>
      </c>
      <c r="B32">
        <v>2018</v>
      </c>
      <c r="C32" s="57">
        <v>43312</v>
      </c>
      <c r="D32">
        <v>6</v>
      </c>
      <c r="E32">
        <v>259</v>
      </c>
    </row>
    <row r="33" spans="1:5" x14ac:dyDescent="0.25">
      <c r="A33" t="s">
        <v>70</v>
      </c>
      <c r="B33">
        <v>2018</v>
      </c>
      <c r="C33" s="57">
        <v>43343</v>
      </c>
      <c r="D33">
        <v>6</v>
      </c>
      <c r="E33">
        <v>262</v>
      </c>
    </row>
    <row r="34" spans="1:5" x14ac:dyDescent="0.25">
      <c r="A34" t="s">
        <v>70</v>
      </c>
      <c r="B34">
        <v>2018</v>
      </c>
      <c r="C34" s="57">
        <v>43373</v>
      </c>
      <c r="D34">
        <v>6</v>
      </c>
      <c r="E34">
        <v>268</v>
      </c>
    </row>
    <row r="35" spans="1:5" x14ac:dyDescent="0.25">
      <c r="A35" t="s">
        <v>70</v>
      </c>
      <c r="B35">
        <v>2018</v>
      </c>
      <c r="C35" s="57">
        <v>43404</v>
      </c>
      <c r="D35">
        <v>2</v>
      </c>
      <c r="E35">
        <v>273</v>
      </c>
    </row>
    <row r="36" spans="1:5" x14ac:dyDescent="0.25">
      <c r="A36" t="s">
        <v>70</v>
      </c>
      <c r="B36">
        <v>2018</v>
      </c>
      <c r="C36" s="57">
        <v>43434</v>
      </c>
      <c r="D36">
        <v>3</v>
      </c>
      <c r="E36">
        <v>274</v>
      </c>
    </row>
    <row r="37" spans="1:5" x14ac:dyDescent="0.25">
      <c r="A37" t="s">
        <v>70</v>
      </c>
      <c r="B37">
        <v>2018</v>
      </c>
      <c r="C37" s="57">
        <v>43465</v>
      </c>
      <c r="D37">
        <v>2</v>
      </c>
      <c r="E37">
        <v>285</v>
      </c>
    </row>
    <row r="38" spans="1:5" x14ac:dyDescent="0.25">
      <c r="A38" t="s">
        <v>70</v>
      </c>
      <c r="B38">
        <v>2019</v>
      </c>
      <c r="C38" s="57">
        <v>43496</v>
      </c>
      <c r="D38">
        <v>2</v>
      </c>
      <c r="E38">
        <v>432</v>
      </c>
    </row>
    <row r="39" spans="1:5" x14ac:dyDescent="0.25">
      <c r="A39" t="s">
        <v>70</v>
      </c>
      <c r="B39">
        <v>2019</v>
      </c>
      <c r="C39" s="57">
        <v>43524</v>
      </c>
      <c r="D39">
        <v>1</v>
      </c>
      <c r="E39">
        <v>432</v>
      </c>
    </row>
    <row r="40" spans="1:5" x14ac:dyDescent="0.25">
      <c r="A40" t="s">
        <v>70</v>
      </c>
      <c r="B40">
        <v>2019</v>
      </c>
      <c r="C40" s="57">
        <v>43555</v>
      </c>
      <c r="D40">
        <v>1</v>
      </c>
      <c r="E40">
        <v>433</v>
      </c>
    </row>
    <row r="41" spans="1:5" x14ac:dyDescent="0.25">
      <c r="A41" t="s">
        <v>70</v>
      </c>
      <c r="B41">
        <v>2019</v>
      </c>
      <c r="C41" s="57">
        <v>43585</v>
      </c>
      <c r="D41">
        <v>1</v>
      </c>
      <c r="E41">
        <v>438</v>
      </c>
    </row>
    <row r="42" spans="1:5" x14ac:dyDescent="0.25">
      <c r="A42" t="s">
        <v>70</v>
      </c>
      <c r="B42">
        <v>2019</v>
      </c>
      <c r="C42" s="57">
        <v>43616</v>
      </c>
      <c r="D42">
        <v>1</v>
      </c>
      <c r="E42">
        <v>442</v>
      </c>
    </row>
    <row r="43" spans="1:5" x14ac:dyDescent="0.25">
      <c r="A43" t="s">
        <v>70</v>
      </c>
      <c r="B43">
        <v>2019</v>
      </c>
      <c r="C43" s="57">
        <v>43646</v>
      </c>
      <c r="D43">
        <v>1</v>
      </c>
      <c r="E43">
        <v>446</v>
      </c>
    </row>
    <row r="44" spans="1:5" x14ac:dyDescent="0.25">
      <c r="A44" t="s">
        <v>70</v>
      </c>
      <c r="B44">
        <v>2019</v>
      </c>
      <c r="C44" s="57">
        <v>43677</v>
      </c>
      <c r="D44">
        <v>1</v>
      </c>
      <c r="E44">
        <v>460</v>
      </c>
    </row>
    <row r="45" spans="1:5" x14ac:dyDescent="0.25">
      <c r="A45" t="s">
        <v>70</v>
      </c>
      <c r="B45">
        <v>2019</v>
      </c>
      <c r="C45" s="57">
        <v>43708</v>
      </c>
      <c r="D45">
        <v>1</v>
      </c>
      <c r="E45">
        <v>463</v>
      </c>
    </row>
    <row r="46" spans="1:5" x14ac:dyDescent="0.25">
      <c r="A46" t="s">
        <v>70</v>
      </c>
      <c r="B46">
        <v>2019</v>
      </c>
      <c r="C46" s="57">
        <v>43738</v>
      </c>
      <c r="D46">
        <v>1</v>
      </c>
      <c r="E46">
        <v>468</v>
      </c>
    </row>
    <row r="47" spans="1:5" x14ac:dyDescent="0.25">
      <c r="A47" t="s">
        <v>70</v>
      </c>
      <c r="B47">
        <v>2019</v>
      </c>
      <c r="C47" s="57">
        <v>43769</v>
      </c>
      <c r="D47">
        <v>2</v>
      </c>
      <c r="E47">
        <v>474</v>
      </c>
    </row>
    <row r="48" spans="1:5" x14ac:dyDescent="0.25">
      <c r="A48" t="s">
        <v>70</v>
      </c>
      <c r="B48">
        <v>2019</v>
      </c>
      <c r="C48" s="57">
        <v>43799</v>
      </c>
      <c r="D48">
        <v>1</v>
      </c>
      <c r="E48">
        <v>484</v>
      </c>
    </row>
    <row r="49" spans="1:5" x14ac:dyDescent="0.25">
      <c r="A49" t="s">
        <v>70</v>
      </c>
      <c r="B49">
        <v>2019</v>
      </c>
      <c r="C49" s="57">
        <v>43830</v>
      </c>
      <c r="D49">
        <v>1</v>
      </c>
      <c r="E49">
        <v>511</v>
      </c>
    </row>
    <row r="50" spans="1:5" x14ac:dyDescent="0.25">
      <c r="A50" t="s">
        <v>70</v>
      </c>
      <c r="B50">
        <v>2020</v>
      </c>
      <c r="C50" s="57">
        <v>43861</v>
      </c>
      <c r="D50">
        <v>0</v>
      </c>
      <c r="E50">
        <v>546</v>
      </c>
    </row>
    <row r="51" spans="1:5" x14ac:dyDescent="0.25">
      <c r="A51" t="s">
        <v>70</v>
      </c>
      <c r="B51">
        <v>2020</v>
      </c>
      <c r="C51" s="57">
        <v>43890</v>
      </c>
      <c r="D51">
        <v>0</v>
      </c>
      <c r="E51">
        <v>552</v>
      </c>
    </row>
    <row r="52" spans="1:5" x14ac:dyDescent="0.25">
      <c r="A52" t="s">
        <v>70</v>
      </c>
      <c r="B52">
        <v>2020</v>
      </c>
      <c r="C52" s="57">
        <v>43921</v>
      </c>
      <c r="D52">
        <v>0</v>
      </c>
      <c r="E52">
        <v>555</v>
      </c>
    </row>
    <row r="53" spans="1:5" x14ac:dyDescent="0.25">
      <c r="A53" t="s">
        <v>70</v>
      </c>
      <c r="B53">
        <v>2020</v>
      </c>
      <c r="C53" s="57">
        <v>43951</v>
      </c>
      <c r="D53">
        <v>5</v>
      </c>
      <c r="E53">
        <v>625</v>
      </c>
    </row>
    <row r="54" spans="1:5" x14ac:dyDescent="0.25">
      <c r="A54" t="s">
        <v>70</v>
      </c>
      <c r="B54">
        <v>2020</v>
      </c>
      <c r="C54" s="57">
        <v>43982</v>
      </c>
      <c r="D54">
        <v>2</v>
      </c>
      <c r="E54">
        <v>629</v>
      </c>
    </row>
    <row r="55" spans="1:5" x14ac:dyDescent="0.25">
      <c r="A55" t="s">
        <v>70</v>
      </c>
      <c r="B55">
        <v>2020</v>
      </c>
      <c r="C55" s="57">
        <v>44012</v>
      </c>
      <c r="D55">
        <v>2</v>
      </c>
      <c r="E55">
        <v>631</v>
      </c>
    </row>
    <row r="56" spans="1:5" x14ac:dyDescent="0.25">
      <c r="A56" t="s">
        <v>70</v>
      </c>
      <c r="B56">
        <v>2020</v>
      </c>
      <c r="C56" s="57">
        <v>44043</v>
      </c>
      <c r="D56">
        <v>2</v>
      </c>
      <c r="E56">
        <v>648</v>
      </c>
    </row>
    <row r="57" spans="1:5" x14ac:dyDescent="0.25">
      <c r="A57" t="s">
        <v>70</v>
      </c>
      <c r="B57">
        <v>2020</v>
      </c>
      <c r="C57" s="57">
        <v>44074</v>
      </c>
      <c r="D57">
        <v>5</v>
      </c>
      <c r="E57">
        <v>652</v>
      </c>
    </row>
    <row r="58" spans="1:5" x14ac:dyDescent="0.25">
      <c r="A58" t="s">
        <v>70</v>
      </c>
      <c r="B58">
        <v>2020</v>
      </c>
      <c r="C58" s="57">
        <v>44104</v>
      </c>
      <c r="D58">
        <v>5</v>
      </c>
      <c r="E58">
        <v>662</v>
      </c>
    </row>
    <row r="59" spans="1:5" x14ac:dyDescent="0.25">
      <c r="A59" t="s">
        <v>70</v>
      </c>
      <c r="B59">
        <v>2020</v>
      </c>
      <c r="C59" s="57">
        <v>44135</v>
      </c>
      <c r="D59">
        <v>5</v>
      </c>
      <c r="E59">
        <v>666</v>
      </c>
    </row>
    <row r="60" spans="1:5" x14ac:dyDescent="0.25">
      <c r="A60" t="s">
        <v>70</v>
      </c>
      <c r="B60">
        <v>2020</v>
      </c>
      <c r="C60" s="57">
        <v>44165</v>
      </c>
      <c r="D60">
        <v>5</v>
      </c>
      <c r="E60">
        <v>675</v>
      </c>
    </row>
    <row r="61" spans="1:5" x14ac:dyDescent="0.25">
      <c r="A61" t="s">
        <v>70</v>
      </c>
      <c r="B61">
        <v>2020</v>
      </c>
      <c r="C61" s="57">
        <v>44196</v>
      </c>
      <c r="D61">
        <v>33</v>
      </c>
      <c r="E61">
        <v>731</v>
      </c>
    </row>
    <row r="62" spans="1:5" x14ac:dyDescent="0.25">
      <c r="A62" t="s">
        <v>70</v>
      </c>
      <c r="B62">
        <v>2021</v>
      </c>
      <c r="C62" s="57">
        <v>44227</v>
      </c>
      <c r="D62">
        <v>4</v>
      </c>
      <c r="E62">
        <v>728</v>
      </c>
    </row>
    <row r="63" spans="1:5" x14ac:dyDescent="0.25">
      <c r="A63" t="s">
        <v>70</v>
      </c>
      <c r="B63">
        <v>2021</v>
      </c>
      <c r="C63" s="57">
        <v>44255</v>
      </c>
      <c r="D63">
        <v>3</v>
      </c>
      <c r="E63">
        <v>726</v>
      </c>
    </row>
    <row r="64" spans="1:5" x14ac:dyDescent="0.25">
      <c r="A64" t="s">
        <v>70</v>
      </c>
      <c r="B64">
        <v>2021</v>
      </c>
      <c r="C64" s="57">
        <v>44286</v>
      </c>
      <c r="D64">
        <v>3</v>
      </c>
      <c r="E64">
        <v>734</v>
      </c>
    </row>
    <row r="65" spans="1:5" x14ac:dyDescent="0.25">
      <c r="A65" t="s">
        <v>70</v>
      </c>
      <c r="B65">
        <v>2021</v>
      </c>
      <c r="C65" s="57">
        <v>44316</v>
      </c>
      <c r="D65">
        <v>3</v>
      </c>
      <c r="E65">
        <v>740</v>
      </c>
    </row>
    <row r="66" spans="1:5" x14ac:dyDescent="0.25">
      <c r="A66" t="s">
        <v>70</v>
      </c>
      <c r="B66">
        <v>2021</v>
      </c>
      <c r="C66" s="57">
        <v>44347</v>
      </c>
      <c r="D66">
        <v>3</v>
      </c>
      <c r="E66">
        <v>748</v>
      </c>
    </row>
    <row r="67" spans="1:5" x14ac:dyDescent="0.25">
      <c r="A67" t="s">
        <v>70</v>
      </c>
      <c r="B67">
        <v>2021</v>
      </c>
      <c r="C67" s="57">
        <v>44377</v>
      </c>
      <c r="D67">
        <v>3</v>
      </c>
      <c r="E67">
        <v>757</v>
      </c>
    </row>
    <row r="68" spans="1:5" x14ac:dyDescent="0.25">
      <c r="A68" t="s">
        <v>70</v>
      </c>
      <c r="B68">
        <v>2021</v>
      </c>
      <c r="C68" s="57">
        <v>44408</v>
      </c>
      <c r="D68">
        <v>3</v>
      </c>
      <c r="E68">
        <v>763</v>
      </c>
    </row>
    <row r="69" spans="1:5" x14ac:dyDescent="0.25">
      <c r="A69" t="s">
        <v>70</v>
      </c>
      <c r="B69">
        <v>2021</v>
      </c>
      <c r="C69" s="57">
        <v>44439</v>
      </c>
      <c r="D69">
        <v>0</v>
      </c>
      <c r="E69">
        <v>771</v>
      </c>
    </row>
    <row r="70" spans="1:5" x14ac:dyDescent="0.25">
      <c r="A70" t="s">
        <v>70</v>
      </c>
      <c r="B70">
        <v>2021</v>
      </c>
      <c r="C70" s="57">
        <v>44469</v>
      </c>
      <c r="D70">
        <v>1</v>
      </c>
      <c r="E70">
        <v>784</v>
      </c>
    </row>
    <row r="71" spans="1:5" x14ac:dyDescent="0.25">
      <c r="A71" t="s">
        <v>70</v>
      </c>
      <c r="B71">
        <v>2021</v>
      </c>
      <c r="C71" s="57">
        <v>44500</v>
      </c>
      <c r="D71">
        <v>1</v>
      </c>
      <c r="E71">
        <v>801</v>
      </c>
    </row>
    <row r="72" spans="1:5" x14ac:dyDescent="0.25">
      <c r="A72" t="s">
        <v>70</v>
      </c>
      <c r="B72">
        <v>2021</v>
      </c>
      <c r="C72" s="57">
        <v>44530</v>
      </c>
      <c r="D72">
        <v>1</v>
      </c>
      <c r="E72">
        <v>804</v>
      </c>
    </row>
    <row r="73" spans="1:5" x14ac:dyDescent="0.25">
      <c r="A73" t="s">
        <v>70</v>
      </c>
      <c r="B73">
        <v>2021</v>
      </c>
      <c r="C73" s="57">
        <v>44561</v>
      </c>
      <c r="D73">
        <v>1</v>
      </c>
      <c r="E73">
        <v>831</v>
      </c>
    </row>
    <row r="74" spans="1:5" x14ac:dyDescent="0.25">
      <c r="A74" t="s">
        <v>70</v>
      </c>
      <c r="B74">
        <v>2022</v>
      </c>
      <c r="C74" s="57">
        <v>44592</v>
      </c>
      <c r="D74">
        <v>0</v>
      </c>
      <c r="E74">
        <v>881</v>
      </c>
    </row>
    <row r="75" spans="1:5" x14ac:dyDescent="0.25">
      <c r="A75" t="s">
        <v>70</v>
      </c>
      <c r="B75">
        <v>2022</v>
      </c>
      <c r="C75" s="57">
        <v>44620</v>
      </c>
      <c r="D75">
        <v>2</v>
      </c>
      <c r="E75">
        <v>883</v>
      </c>
    </row>
    <row r="76" spans="1:5" x14ac:dyDescent="0.25">
      <c r="A76" t="s">
        <v>70</v>
      </c>
      <c r="B76">
        <v>2022</v>
      </c>
      <c r="C76" s="57">
        <v>44651</v>
      </c>
      <c r="D76">
        <v>3</v>
      </c>
      <c r="E76">
        <v>895</v>
      </c>
    </row>
    <row r="77" spans="1:5" x14ac:dyDescent="0.25">
      <c r="A77" t="s">
        <v>70</v>
      </c>
      <c r="B77">
        <v>2022</v>
      </c>
      <c r="C77" s="57">
        <v>44681</v>
      </c>
      <c r="D77">
        <v>4</v>
      </c>
      <c r="E77">
        <v>903</v>
      </c>
    </row>
    <row r="78" spans="1:5" x14ac:dyDescent="0.25">
      <c r="A78" t="s">
        <v>70</v>
      </c>
      <c r="B78">
        <v>2022</v>
      </c>
      <c r="C78" s="57">
        <v>44712</v>
      </c>
      <c r="D78">
        <v>4</v>
      </c>
      <c r="E78">
        <v>914</v>
      </c>
    </row>
    <row r="79" spans="1:5" x14ac:dyDescent="0.25">
      <c r="A79" t="s">
        <v>70</v>
      </c>
      <c r="B79">
        <v>2022</v>
      </c>
      <c r="C79" s="57">
        <v>44742</v>
      </c>
      <c r="D79">
        <v>3</v>
      </c>
      <c r="E79">
        <v>928</v>
      </c>
    </row>
    <row r="80" spans="1:5" x14ac:dyDescent="0.25">
      <c r="A80" t="s">
        <v>70</v>
      </c>
      <c r="B80">
        <v>2022</v>
      </c>
      <c r="C80" s="57">
        <v>44773</v>
      </c>
      <c r="D80">
        <v>4</v>
      </c>
      <c r="E80">
        <v>935</v>
      </c>
    </row>
    <row r="81" spans="1:5" x14ac:dyDescent="0.25">
      <c r="A81" t="s">
        <v>70</v>
      </c>
      <c r="B81">
        <v>2022</v>
      </c>
      <c r="C81" s="57">
        <v>44804</v>
      </c>
      <c r="D81">
        <v>4</v>
      </c>
      <c r="E81">
        <v>949</v>
      </c>
    </row>
    <row r="82" spans="1:5" x14ac:dyDescent="0.25">
      <c r="A82" t="s">
        <v>70</v>
      </c>
      <c r="B82">
        <v>2022</v>
      </c>
      <c r="C82" s="57">
        <v>44834</v>
      </c>
      <c r="D82">
        <v>5</v>
      </c>
      <c r="E82">
        <v>958</v>
      </c>
    </row>
    <row r="83" spans="1:5" x14ac:dyDescent="0.25">
      <c r="A83" t="s">
        <v>70</v>
      </c>
      <c r="B83">
        <v>2022</v>
      </c>
      <c r="C83" s="57">
        <v>44865</v>
      </c>
      <c r="D83">
        <v>5</v>
      </c>
      <c r="E83">
        <v>964</v>
      </c>
    </row>
    <row r="84" spans="1:5" x14ac:dyDescent="0.25">
      <c r="A84" t="s">
        <v>70</v>
      </c>
      <c r="B84">
        <v>2022</v>
      </c>
      <c r="C84" s="57">
        <v>44895</v>
      </c>
      <c r="D84">
        <v>5</v>
      </c>
      <c r="E84">
        <v>983</v>
      </c>
    </row>
    <row r="85" spans="1:5" x14ac:dyDescent="0.25">
      <c r="A85" t="s">
        <v>70</v>
      </c>
      <c r="B85">
        <v>2022</v>
      </c>
      <c r="C85" s="57">
        <v>44926</v>
      </c>
      <c r="D85">
        <v>6</v>
      </c>
      <c r="E85">
        <v>1013</v>
      </c>
    </row>
    <row r="86" spans="1:5" x14ac:dyDescent="0.25">
      <c r="A86" t="s">
        <v>70</v>
      </c>
      <c r="B86">
        <v>2023</v>
      </c>
      <c r="C86" s="57">
        <v>44957</v>
      </c>
      <c r="D86">
        <v>7</v>
      </c>
      <c r="E86">
        <v>716</v>
      </c>
    </row>
    <row r="87" spans="1:5" x14ac:dyDescent="0.25">
      <c r="A87" t="s">
        <v>70</v>
      </c>
      <c r="B87">
        <v>2023</v>
      </c>
      <c r="C87" s="57">
        <v>44985</v>
      </c>
      <c r="D87">
        <v>6</v>
      </c>
      <c r="E87">
        <v>723</v>
      </c>
    </row>
    <row r="88" spans="1:5" x14ac:dyDescent="0.25">
      <c r="A88" t="s">
        <v>70</v>
      </c>
      <c r="B88">
        <v>2023</v>
      </c>
      <c r="C88" s="57">
        <v>45016</v>
      </c>
      <c r="D88">
        <v>6</v>
      </c>
      <c r="E88">
        <v>732</v>
      </c>
    </row>
    <row r="89" spans="1:5" x14ac:dyDescent="0.25">
      <c r="A89" t="s">
        <v>70</v>
      </c>
      <c r="B89">
        <v>2023</v>
      </c>
      <c r="C89" s="57">
        <v>45046</v>
      </c>
      <c r="D89">
        <v>6</v>
      </c>
      <c r="E89">
        <v>731</v>
      </c>
    </row>
    <row r="90" spans="1:5" x14ac:dyDescent="0.25">
      <c r="A90" t="s">
        <v>70</v>
      </c>
      <c r="B90">
        <v>2023</v>
      </c>
      <c r="C90" s="57">
        <v>45077</v>
      </c>
      <c r="D90">
        <v>6</v>
      </c>
      <c r="E90">
        <v>731</v>
      </c>
    </row>
    <row r="91" spans="1:5" x14ac:dyDescent="0.25">
      <c r="A91" t="s">
        <v>70</v>
      </c>
      <c r="B91">
        <v>2023</v>
      </c>
      <c r="C91" s="57">
        <v>45107</v>
      </c>
      <c r="D91">
        <v>7</v>
      </c>
      <c r="E91">
        <v>733</v>
      </c>
    </row>
    <row r="92" spans="1:5" x14ac:dyDescent="0.25">
      <c r="A92" t="s">
        <v>84</v>
      </c>
      <c r="B92">
        <v>2023</v>
      </c>
      <c r="C92" s="57">
        <v>44957</v>
      </c>
      <c r="D92">
        <v>0</v>
      </c>
      <c r="E92">
        <v>11</v>
      </c>
    </row>
    <row r="93" spans="1:5" x14ac:dyDescent="0.25">
      <c r="A93" t="s">
        <v>84</v>
      </c>
      <c r="B93">
        <v>2023</v>
      </c>
      <c r="C93" s="57">
        <v>44985</v>
      </c>
      <c r="D93">
        <v>0</v>
      </c>
      <c r="E93">
        <v>11</v>
      </c>
    </row>
    <row r="94" spans="1:5" x14ac:dyDescent="0.25">
      <c r="A94" t="s">
        <v>84</v>
      </c>
      <c r="B94">
        <v>2023</v>
      </c>
      <c r="C94" s="57">
        <v>45016</v>
      </c>
      <c r="D94">
        <v>0</v>
      </c>
      <c r="E94">
        <v>11</v>
      </c>
    </row>
    <row r="95" spans="1:5" x14ac:dyDescent="0.25">
      <c r="A95" t="s">
        <v>84</v>
      </c>
      <c r="B95">
        <v>2023</v>
      </c>
      <c r="C95" s="57">
        <v>45046</v>
      </c>
      <c r="D95">
        <v>0</v>
      </c>
      <c r="E95">
        <v>12</v>
      </c>
    </row>
    <row r="96" spans="1:5" x14ac:dyDescent="0.25">
      <c r="A96" t="s">
        <v>84</v>
      </c>
      <c r="B96">
        <v>2023</v>
      </c>
      <c r="C96" s="57">
        <v>45077</v>
      </c>
      <c r="D96">
        <v>0</v>
      </c>
      <c r="E96">
        <v>13</v>
      </c>
    </row>
    <row r="97" spans="1:5" x14ac:dyDescent="0.25">
      <c r="A97" t="s">
        <v>84</v>
      </c>
      <c r="B97">
        <v>2023</v>
      </c>
      <c r="C97" s="57">
        <v>45107</v>
      </c>
      <c r="D97">
        <v>0</v>
      </c>
      <c r="E97">
        <v>13</v>
      </c>
    </row>
    <row r="98" spans="1:5" x14ac:dyDescent="0.25">
      <c r="A98" t="s">
        <v>85</v>
      </c>
      <c r="B98">
        <v>2016</v>
      </c>
      <c r="C98" s="57">
        <v>42400</v>
      </c>
      <c r="D98">
        <v>18</v>
      </c>
      <c r="E98">
        <v>726</v>
      </c>
    </row>
    <row r="99" spans="1:5" x14ac:dyDescent="0.25">
      <c r="A99" t="s">
        <v>85</v>
      </c>
      <c r="B99">
        <v>2016</v>
      </c>
      <c r="C99" s="57">
        <v>42429</v>
      </c>
      <c r="D99">
        <v>19</v>
      </c>
      <c r="E99">
        <v>732</v>
      </c>
    </row>
    <row r="100" spans="1:5" x14ac:dyDescent="0.25">
      <c r="A100" t="s">
        <v>85</v>
      </c>
      <c r="B100">
        <v>2016</v>
      </c>
      <c r="C100" s="57">
        <v>42460</v>
      </c>
      <c r="D100">
        <v>20</v>
      </c>
      <c r="E100">
        <v>740</v>
      </c>
    </row>
    <row r="101" spans="1:5" x14ac:dyDescent="0.25">
      <c r="A101" t="s">
        <v>85</v>
      </c>
      <c r="B101">
        <v>2016</v>
      </c>
      <c r="C101" s="57">
        <v>42490</v>
      </c>
      <c r="D101">
        <v>22</v>
      </c>
      <c r="E101">
        <v>747</v>
      </c>
    </row>
    <row r="102" spans="1:5" x14ac:dyDescent="0.25">
      <c r="A102" t="s">
        <v>85</v>
      </c>
      <c r="B102">
        <v>2016</v>
      </c>
      <c r="C102" s="57">
        <v>42521</v>
      </c>
      <c r="D102">
        <v>23</v>
      </c>
      <c r="E102">
        <v>763</v>
      </c>
    </row>
    <row r="103" spans="1:5" x14ac:dyDescent="0.25">
      <c r="A103" t="s">
        <v>85</v>
      </c>
      <c r="B103">
        <v>2016</v>
      </c>
      <c r="C103" s="57">
        <v>42551</v>
      </c>
      <c r="D103">
        <v>26</v>
      </c>
      <c r="E103">
        <v>784</v>
      </c>
    </row>
    <row r="104" spans="1:5" x14ac:dyDescent="0.25">
      <c r="A104" t="s">
        <v>85</v>
      </c>
      <c r="B104">
        <v>2016</v>
      </c>
      <c r="C104" s="57">
        <v>42582</v>
      </c>
      <c r="D104">
        <v>26</v>
      </c>
      <c r="E104">
        <v>796</v>
      </c>
    </row>
    <row r="105" spans="1:5" x14ac:dyDescent="0.25">
      <c r="A105" t="s">
        <v>85</v>
      </c>
      <c r="B105">
        <v>2016</v>
      </c>
      <c r="C105" s="57">
        <v>42613</v>
      </c>
      <c r="D105">
        <v>21</v>
      </c>
      <c r="E105">
        <v>810</v>
      </c>
    </row>
    <row r="106" spans="1:5" x14ac:dyDescent="0.25">
      <c r="A106" t="s">
        <v>85</v>
      </c>
      <c r="B106">
        <v>2016</v>
      </c>
      <c r="C106" s="57">
        <v>42643</v>
      </c>
      <c r="D106">
        <v>21</v>
      </c>
      <c r="E106">
        <v>829</v>
      </c>
    </row>
    <row r="107" spans="1:5" x14ac:dyDescent="0.25">
      <c r="A107" t="s">
        <v>85</v>
      </c>
      <c r="B107">
        <v>2016</v>
      </c>
      <c r="C107" s="57">
        <v>42674</v>
      </c>
      <c r="D107">
        <v>21</v>
      </c>
      <c r="E107">
        <v>865</v>
      </c>
    </row>
    <row r="108" spans="1:5" x14ac:dyDescent="0.25">
      <c r="A108" t="s">
        <v>85</v>
      </c>
      <c r="B108">
        <v>2016</v>
      </c>
      <c r="C108" s="57">
        <v>42704</v>
      </c>
      <c r="D108">
        <v>23</v>
      </c>
      <c r="E108">
        <v>934</v>
      </c>
    </row>
    <row r="109" spans="1:5" x14ac:dyDescent="0.25">
      <c r="A109" t="s">
        <v>85</v>
      </c>
      <c r="B109">
        <v>2016</v>
      </c>
      <c r="C109" s="57">
        <v>42735</v>
      </c>
      <c r="D109">
        <v>26</v>
      </c>
      <c r="E109">
        <v>1016</v>
      </c>
    </row>
    <row r="110" spans="1:5" x14ac:dyDescent="0.25">
      <c r="A110" t="s">
        <v>85</v>
      </c>
      <c r="B110">
        <v>2017</v>
      </c>
      <c r="C110" s="57">
        <v>42766</v>
      </c>
      <c r="D110">
        <v>27</v>
      </c>
      <c r="E110">
        <v>1034</v>
      </c>
    </row>
    <row r="111" spans="1:5" x14ac:dyDescent="0.25">
      <c r="A111" t="s">
        <v>85</v>
      </c>
      <c r="B111">
        <v>2017</v>
      </c>
      <c r="C111" s="57">
        <v>42794</v>
      </c>
      <c r="D111">
        <v>31</v>
      </c>
      <c r="E111">
        <v>1059</v>
      </c>
    </row>
    <row r="112" spans="1:5" x14ac:dyDescent="0.25">
      <c r="A112" t="s">
        <v>85</v>
      </c>
      <c r="B112">
        <v>2017</v>
      </c>
      <c r="C112" s="57">
        <v>42825</v>
      </c>
      <c r="D112">
        <v>27</v>
      </c>
      <c r="E112">
        <v>1107</v>
      </c>
    </row>
    <row r="113" spans="1:5" x14ac:dyDescent="0.25">
      <c r="A113" t="s">
        <v>85</v>
      </c>
      <c r="B113">
        <v>2017</v>
      </c>
      <c r="C113" s="57">
        <v>42855</v>
      </c>
      <c r="D113">
        <v>32</v>
      </c>
      <c r="E113">
        <v>1134</v>
      </c>
    </row>
    <row r="114" spans="1:5" x14ac:dyDescent="0.25">
      <c r="A114" t="s">
        <v>85</v>
      </c>
      <c r="B114">
        <v>2017</v>
      </c>
      <c r="C114" s="57">
        <v>42886</v>
      </c>
      <c r="D114">
        <v>30</v>
      </c>
      <c r="E114">
        <v>1112</v>
      </c>
    </row>
    <row r="115" spans="1:5" x14ac:dyDescent="0.25">
      <c r="A115" t="s">
        <v>85</v>
      </c>
      <c r="B115">
        <v>2017</v>
      </c>
      <c r="C115" s="57">
        <v>42916</v>
      </c>
      <c r="D115">
        <v>28</v>
      </c>
      <c r="E115">
        <v>1176</v>
      </c>
    </row>
    <row r="116" spans="1:5" x14ac:dyDescent="0.25">
      <c r="A116" t="s">
        <v>85</v>
      </c>
      <c r="B116">
        <v>2017</v>
      </c>
      <c r="C116" s="57">
        <v>42947</v>
      </c>
      <c r="D116">
        <v>30</v>
      </c>
      <c r="E116">
        <v>1195</v>
      </c>
    </row>
    <row r="117" spans="1:5" x14ac:dyDescent="0.25">
      <c r="A117" t="s">
        <v>85</v>
      </c>
      <c r="B117">
        <v>2017</v>
      </c>
      <c r="C117" s="57">
        <v>42978</v>
      </c>
      <c r="D117">
        <v>35</v>
      </c>
      <c r="E117">
        <v>1238</v>
      </c>
    </row>
    <row r="118" spans="1:5" x14ac:dyDescent="0.25">
      <c r="A118" t="s">
        <v>85</v>
      </c>
      <c r="B118">
        <v>2017</v>
      </c>
      <c r="C118" s="57">
        <v>43008</v>
      </c>
      <c r="D118">
        <v>35</v>
      </c>
      <c r="E118">
        <v>1295</v>
      </c>
    </row>
    <row r="119" spans="1:5" x14ac:dyDescent="0.25">
      <c r="A119" t="s">
        <v>85</v>
      </c>
      <c r="B119">
        <v>2017</v>
      </c>
      <c r="C119" s="57">
        <v>43039</v>
      </c>
      <c r="D119">
        <v>28</v>
      </c>
      <c r="E119">
        <v>1286</v>
      </c>
    </row>
    <row r="120" spans="1:5" x14ac:dyDescent="0.25">
      <c r="A120" t="s">
        <v>85</v>
      </c>
      <c r="B120">
        <v>2017</v>
      </c>
      <c r="C120" s="57">
        <v>43069</v>
      </c>
      <c r="D120">
        <v>24</v>
      </c>
      <c r="E120">
        <v>1239</v>
      </c>
    </row>
    <row r="121" spans="1:5" x14ac:dyDescent="0.25">
      <c r="A121" t="s">
        <v>85</v>
      </c>
      <c r="B121">
        <v>2017</v>
      </c>
      <c r="C121" s="57">
        <v>43100</v>
      </c>
      <c r="D121">
        <v>23</v>
      </c>
      <c r="E121">
        <v>1210</v>
      </c>
    </row>
    <row r="122" spans="1:5" x14ac:dyDescent="0.25">
      <c r="A122" t="s">
        <v>85</v>
      </c>
      <c r="B122">
        <v>2018</v>
      </c>
      <c r="C122" s="57">
        <v>43131</v>
      </c>
      <c r="D122">
        <v>25</v>
      </c>
      <c r="E122">
        <v>1099</v>
      </c>
    </row>
    <row r="123" spans="1:5" x14ac:dyDescent="0.25">
      <c r="A123" t="s">
        <v>85</v>
      </c>
      <c r="B123">
        <v>2018</v>
      </c>
      <c r="C123" s="57">
        <v>43159</v>
      </c>
      <c r="D123">
        <v>23</v>
      </c>
      <c r="E123">
        <v>1053</v>
      </c>
    </row>
    <row r="124" spans="1:5" x14ac:dyDescent="0.25">
      <c r="A124" t="s">
        <v>85</v>
      </c>
      <c r="B124">
        <v>2018</v>
      </c>
      <c r="C124" s="57">
        <v>43190</v>
      </c>
      <c r="D124">
        <v>23</v>
      </c>
      <c r="E124">
        <v>1067</v>
      </c>
    </row>
    <row r="125" spans="1:5" x14ac:dyDescent="0.25">
      <c r="A125" t="s">
        <v>85</v>
      </c>
      <c r="B125">
        <v>2018</v>
      </c>
      <c r="C125" s="57">
        <v>43220</v>
      </c>
      <c r="D125">
        <v>20</v>
      </c>
      <c r="E125">
        <v>1077</v>
      </c>
    </row>
    <row r="126" spans="1:5" x14ac:dyDescent="0.25">
      <c r="A126" t="s">
        <v>85</v>
      </c>
      <c r="B126">
        <v>2018</v>
      </c>
      <c r="C126" s="57">
        <v>43251</v>
      </c>
      <c r="D126">
        <v>23</v>
      </c>
      <c r="E126">
        <v>1105</v>
      </c>
    </row>
    <row r="127" spans="1:5" x14ac:dyDescent="0.25">
      <c r="A127" t="s">
        <v>85</v>
      </c>
      <c r="B127">
        <v>2018</v>
      </c>
      <c r="C127" s="57">
        <v>43281</v>
      </c>
      <c r="D127">
        <v>27</v>
      </c>
      <c r="E127">
        <v>1160</v>
      </c>
    </row>
    <row r="128" spans="1:5" x14ac:dyDescent="0.25">
      <c r="A128" t="s">
        <v>85</v>
      </c>
      <c r="B128">
        <v>2018</v>
      </c>
      <c r="C128" s="57">
        <v>43312</v>
      </c>
      <c r="D128">
        <v>91</v>
      </c>
      <c r="E128">
        <v>1266</v>
      </c>
    </row>
    <row r="129" spans="1:5" x14ac:dyDescent="0.25">
      <c r="A129" t="s">
        <v>85</v>
      </c>
      <c r="B129">
        <v>2018</v>
      </c>
      <c r="C129" s="57">
        <v>43343</v>
      </c>
      <c r="D129">
        <v>96</v>
      </c>
      <c r="E129">
        <v>1298</v>
      </c>
    </row>
    <row r="130" spans="1:5" x14ac:dyDescent="0.25">
      <c r="A130" t="s">
        <v>85</v>
      </c>
      <c r="B130">
        <v>2018</v>
      </c>
      <c r="C130" s="57">
        <v>43373</v>
      </c>
      <c r="D130">
        <v>95</v>
      </c>
      <c r="E130">
        <v>1343</v>
      </c>
    </row>
    <row r="131" spans="1:5" x14ac:dyDescent="0.25">
      <c r="A131" t="s">
        <v>85</v>
      </c>
      <c r="B131">
        <v>2018</v>
      </c>
      <c r="C131" s="57">
        <v>43404</v>
      </c>
      <c r="D131">
        <v>34</v>
      </c>
      <c r="E131">
        <v>1332</v>
      </c>
    </row>
    <row r="132" spans="1:5" x14ac:dyDescent="0.25">
      <c r="A132" t="s">
        <v>85</v>
      </c>
      <c r="B132">
        <v>2018</v>
      </c>
      <c r="C132" s="57">
        <v>43434</v>
      </c>
      <c r="D132">
        <v>33</v>
      </c>
      <c r="E132">
        <v>1395</v>
      </c>
    </row>
    <row r="133" spans="1:5" x14ac:dyDescent="0.25">
      <c r="A133" t="s">
        <v>85</v>
      </c>
      <c r="B133">
        <v>2018</v>
      </c>
      <c r="C133" s="57">
        <v>43465</v>
      </c>
      <c r="D133">
        <v>35</v>
      </c>
      <c r="E133">
        <v>1459</v>
      </c>
    </row>
    <row r="134" spans="1:5" x14ac:dyDescent="0.25">
      <c r="A134" t="s">
        <v>85</v>
      </c>
      <c r="B134">
        <v>2019</v>
      </c>
      <c r="C134" s="57">
        <v>43496</v>
      </c>
      <c r="D134">
        <v>31</v>
      </c>
      <c r="E134">
        <v>1126</v>
      </c>
    </row>
    <row r="135" spans="1:5" x14ac:dyDescent="0.25">
      <c r="A135" t="s">
        <v>85</v>
      </c>
      <c r="B135">
        <v>2019</v>
      </c>
      <c r="C135" s="57">
        <v>43524</v>
      </c>
      <c r="D135">
        <v>33</v>
      </c>
      <c r="E135">
        <v>1130</v>
      </c>
    </row>
    <row r="136" spans="1:5" x14ac:dyDescent="0.25">
      <c r="A136" t="s">
        <v>85</v>
      </c>
      <c r="B136">
        <v>2019</v>
      </c>
      <c r="C136" s="57">
        <v>43555</v>
      </c>
      <c r="D136">
        <v>41</v>
      </c>
      <c r="E136">
        <v>1136</v>
      </c>
    </row>
    <row r="137" spans="1:5" x14ac:dyDescent="0.25">
      <c r="A137" t="s">
        <v>85</v>
      </c>
      <c r="B137">
        <v>2019</v>
      </c>
      <c r="C137" s="57">
        <v>43585</v>
      </c>
      <c r="D137">
        <v>39</v>
      </c>
      <c r="E137">
        <v>1147</v>
      </c>
    </row>
    <row r="138" spans="1:5" x14ac:dyDescent="0.25">
      <c r="A138" t="s">
        <v>85</v>
      </c>
      <c r="B138">
        <v>2019</v>
      </c>
      <c r="C138" s="57">
        <v>43616</v>
      </c>
      <c r="D138">
        <v>36</v>
      </c>
      <c r="E138">
        <v>1155</v>
      </c>
    </row>
    <row r="139" spans="1:5" x14ac:dyDescent="0.25">
      <c r="A139" t="s">
        <v>85</v>
      </c>
      <c r="B139">
        <v>2019</v>
      </c>
      <c r="C139" s="57">
        <v>43646</v>
      </c>
      <c r="D139">
        <v>34</v>
      </c>
      <c r="E139">
        <v>1161</v>
      </c>
    </row>
    <row r="140" spans="1:5" x14ac:dyDescent="0.25">
      <c r="A140" t="s">
        <v>85</v>
      </c>
      <c r="B140">
        <v>2019</v>
      </c>
      <c r="C140" s="57">
        <v>43677</v>
      </c>
      <c r="D140">
        <v>33</v>
      </c>
      <c r="E140">
        <v>1175</v>
      </c>
    </row>
    <row r="141" spans="1:5" x14ac:dyDescent="0.25">
      <c r="A141" t="s">
        <v>85</v>
      </c>
      <c r="B141">
        <v>2019</v>
      </c>
      <c r="C141" s="57">
        <v>43708</v>
      </c>
      <c r="D141">
        <v>30</v>
      </c>
      <c r="E141">
        <v>1195</v>
      </c>
    </row>
    <row r="142" spans="1:5" x14ac:dyDescent="0.25">
      <c r="A142" t="s">
        <v>85</v>
      </c>
      <c r="B142">
        <v>2019</v>
      </c>
      <c r="C142" s="57">
        <v>43738</v>
      </c>
      <c r="D142">
        <v>30</v>
      </c>
      <c r="E142">
        <v>1209</v>
      </c>
    </row>
    <row r="143" spans="1:5" x14ac:dyDescent="0.25">
      <c r="A143" t="s">
        <v>85</v>
      </c>
      <c r="B143">
        <v>2019</v>
      </c>
      <c r="C143" s="57">
        <v>43769</v>
      </c>
      <c r="D143">
        <v>25</v>
      </c>
      <c r="E143">
        <v>1225</v>
      </c>
    </row>
    <row r="144" spans="1:5" x14ac:dyDescent="0.25">
      <c r="A144" t="s">
        <v>85</v>
      </c>
      <c r="B144">
        <v>2019</v>
      </c>
      <c r="C144" s="57">
        <v>43799</v>
      </c>
      <c r="D144">
        <v>25</v>
      </c>
      <c r="E144">
        <v>1242</v>
      </c>
    </row>
    <row r="145" spans="1:5" x14ac:dyDescent="0.25">
      <c r="A145" t="s">
        <v>85</v>
      </c>
      <c r="B145">
        <v>2019</v>
      </c>
      <c r="C145" s="57">
        <v>43830</v>
      </c>
      <c r="D145">
        <v>22</v>
      </c>
      <c r="E145">
        <v>1282</v>
      </c>
    </row>
    <row r="146" spans="1:5" x14ac:dyDescent="0.25">
      <c r="A146" t="s">
        <v>85</v>
      </c>
      <c r="B146">
        <v>2020</v>
      </c>
      <c r="C146" s="57">
        <v>43861</v>
      </c>
      <c r="D146">
        <v>27</v>
      </c>
      <c r="E146">
        <v>1282</v>
      </c>
    </row>
    <row r="147" spans="1:5" x14ac:dyDescent="0.25">
      <c r="A147" t="s">
        <v>85</v>
      </c>
      <c r="B147">
        <v>2020</v>
      </c>
      <c r="C147" s="57">
        <v>43890</v>
      </c>
      <c r="D147">
        <v>22</v>
      </c>
      <c r="E147">
        <v>1270</v>
      </c>
    </row>
    <row r="148" spans="1:5" x14ac:dyDescent="0.25">
      <c r="A148" t="s">
        <v>85</v>
      </c>
      <c r="B148">
        <v>2020</v>
      </c>
      <c r="C148" s="57">
        <v>43921</v>
      </c>
      <c r="D148">
        <v>16</v>
      </c>
      <c r="E148">
        <v>1254</v>
      </c>
    </row>
    <row r="149" spans="1:5" x14ac:dyDescent="0.25">
      <c r="A149" t="s">
        <v>85</v>
      </c>
      <c r="B149">
        <v>2020</v>
      </c>
      <c r="C149" s="57">
        <v>43951</v>
      </c>
      <c r="D149">
        <v>13</v>
      </c>
      <c r="E149">
        <v>813</v>
      </c>
    </row>
    <row r="150" spans="1:5" x14ac:dyDescent="0.25">
      <c r="A150" t="s">
        <v>85</v>
      </c>
      <c r="B150">
        <v>2020</v>
      </c>
      <c r="C150" s="57">
        <v>43982</v>
      </c>
      <c r="D150">
        <v>16</v>
      </c>
      <c r="E150">
        <v>813</v>
      </c>
    </row>
    <row r="151" spans="1:5" x14ac:dyDescent="0.25">
      <c r="A151" t="s">
        <v>85</v>
      </c>
      <c r="B151">
        <v>2020</v>
      </c>
      <c r="C151" s="57">
        <v>44012</v>
      </c>
      <c r="D151">
        <v>17</v>
      </c>
      <c r="E151">
        <v>819</v>
      </c>
    </row>
    <row r="152" spans="1:5" x14ac:dyDescent="0.25">
      <c r="A152" t="s">
        <v>85</v>
      </c>
      <c r="B152">
        <v>2020</v>
      </c>
      <c r="C152" s="57">
        <v>44043</v>
      </c>
      <c r="D152">
        <v>17</v>
      </c>
      <c r="E152">
        <v>828</v>
      </c>
    </row>
    <row r="153" spans="1:5" x14ac:dyDescent="0.25">
      <c r="A153" t="s">
        <v>85</v>
      </c>
      <c r="B153">
        <v>2020</v>
      </c>
      <c r="C153" s="57">
        <v>44074</v>
      </c>
      <c r="D153">
        <v>19</v>
      </c>
      <c r="E153">
        <v>828</v>
      </c>
    </row>
    <row r="154" spans="1:5" x14ac:dyDescent="0.25">
      <c r="A154" t="s">
        <v>85</v>
      </c>
      <c r="B154">
        <v>2020</v>
      </c>
      <c r="C154" s="57">
        <v>44104</v>
      </c>
      <c r="D154">
        <v>21</v>
      </c>
      <c r="E154">
        <v>838</v>
      </c>
    </row>
    <row r="155" spans="1:5" x14ac:dyDescent="0.25">
      <c r="A155" t="s">
        <v>85</v>
      </c>
      <c r="B155">
        <v>2020</v>
      </c>
      <c r="C155" s="57">
        <v>44135</v>
      </c>
      <c r="D155">
        <v>22</v>
      </c>
      <c r="E155">
        <v>849</v>
      </c>
    </row>
    <row r="156" spans="1:5" x14ac:dyDescent="0.25">
      <c r="A156" t="s">
        <v>85</v>
      </c>
      <c r="B156">
        <v>2020</v>
      </c>
      <c r="C156" s="57">
        <v>44165</v>
      </c>
      <c r="D156">
        <v>23</v>
      </c>
      <c r="E156">
        <v>862</v>
      </c>
    </row>
    <row r="157" spans="1:5" x14ac:dyDescent="0.25">
      <c r="A157" t="s">
        <v>85</v>
      </c>
      <c r="B157">
        <v>2020</v>
      </c>
      <c r="C157" s="57">
        <v>44196</v>
      </c>
      <c r="D157">
        <v>158</v>
      </c>
      <c r="E157">
        <v>1040</v>
      </c>
    </row>
    <row r="158" spans="1:5" x14ac:dyDescent="0.25">
      <c r="A158" t="s">
        <v>85</v>
      </c>
      <c r="B158">
        <v>2021</v>
      </c>
      <c r="C158" s="57">
        <v>44227</v>
      </c>
      <c r="D158">
        <v>19</v>
      </c>
      <c r="E158">
        <v>972</v>
      </c>
    </row>
    <row r="159" spans="1:5" x14ac:dyDescent="0.25">
      <c r="A159" t="s">
        <v>85</v>
      </c>
      <c r="B159">
        <v>2021</v>
      </c>
      <c r="C159" s="57">
        <v>44255</v>
      </c>
      <c r="D159">
        <v>20</v>
      </c>
      <c r="E159">
        <v>964</v>
      </c>
    </row>
    <row r="160" spans="1:5" x14ac:dyDescent="0.25">
      <c r="A160" t="s">
        <v>85</v>
      </c>
      <c r="B160">
        <v>2021</v>
      </c>
      <c r="C160" s="57">
        <v>44286</v>
      </c>
      <c r="D160">
        <v>20</v>
      </c>
      <c r="E160">
        <v>963</v>
      </c>
    </row>
    <row r="161" spans="1:5" x14ac:dyDescent="0.25">
      <c r="A161" t="s">
        <v>85</v>
      </c>
      <c r="B161">
        <v>2021</v>
      </c>
      <c r="C161" s="57">
        <v>44316</v>
      </c>
      <c r="D161">
        <v>22</v>
      </c>
      <c r="E161">
        <v>977</v>
      </c>
    </row>
    <row r="162" spans="1:5" x14ac:dyDescent="0.25">
      <c r="A162" t="s">
        <v>85</v>
      </c>
      <c r="B162">
        <v>2021</v>
      </c>
      <c r="C162" s="57">
        <v>44347</v>
      </c>
      <c r="D162">
        <v>20</v>
      </c>
      <c r="E162">
        <v>991</v>
      </c>
    </row>
    <row r="163" spans="1:5" x14ac:dyDescent="0.25">
      <c r="A163" t="s">
        <v>85</v>
      </c>
      <c r="B163">
        <v>2021</v>
      </c>
      <c r="C163" s="57">
        <v>44377</v>
      </c>
      <c r="D163">
        <v>19</v>
      </c>
      <c r="E163">
        <v>1000</v>
      </c>
    </row>
    <row r="164" spans="1:5" x14ac:dyDescent="0.25">
      <c r="A164" t="s">
        <v>85</v>
      </c>
      <c r="B164">
        <v>2021</v>
      </c>
      <c r="C164" s="57">
        <v>44408</v>
      </c>
      <c r="D164">
        <v>17</v>
      </c>
      <c r="E164">
        <v>1003</v>
      </c>
    </row>
    <row r="165" spans="1:5" x14ac:dyDescent="0.25">
      <c r="A165" t="s">
        <v>85</v>
      </c>
      <c r="B165">
        <v>2021</v>
      </c>
      <c r="C165" s="57">
        <v>44439</v>
      </c>
      <c r="D165">
        <v>13</v>
      </c>
      <c r="E165">
        <v>1007</v>
      </c>
    </row>
    <row r="166" spans="1:5" x14ac:dyDescent="0.25">
      <c r="A166" t="s">
        <v>85</v>
      </c>
      <c r="B166">
        <v>2021</v>
      </c>
      <c r="C166" s="57">
        <v>44469</v>
      </c>
      <c r="D166">
        <v>11</v>
      </c>
      <c r="E166">
        <v>1017</v>
      </c>
    </row>
    <row r="167" spans="1:5" x14ac:dyDescent="0.25">
      <c r="A167" t="s">
        <v>85</v>
      </c>
      <c r="B167">
        <v>2021</v>
      </c>
      <c r="C167" s="57">
        <v>44500</v>
      </c>
      <c r="D167">
        <v>11</v>
      </c>
      <c r="E167">
        <v>1035</v>
      </c>
    </row>
    <row r="168" spans="1:5" x14ac:dyDescent="0.25">
      <c r="A168" t="s">
        <v>85</v>
      </c>
      <c r="B168">
        <v>2021</v>
      </c>
      <c r="C168" s="57">
        <v>44530</v>
      </c>
      <c r="D168">
        <v>12</v>
      </c>
      <c r="E168">
        <v>1033</v>
      </c>
    </row>
    <row r="169" spans="1:5" x14ac:dyDescent="0.25">
      <c r="A169" t="s">
        <v>85</v>
      </c>
      <c r="B169">
        <v>2021</v>
      </c>
      <c r="C169" s="57">
        <v>44561</v>
      </c>
      <c r="D169">
        <v>12</v>
      </c>
      <c r="E169">
        <v>1060</v>
      </c>
    </row>
    <row r="170" spans="1:5" x14ac:dyDescent="0.25">
      <c r="A170" t="s">
        <v>85</v>
      </c>
      <c r="B170">
        <v>2022</v>
      </c>
      <c r="C170" s="57">
        <v>44592</v>
      </c>
      <c r="D170">
        <v>10</v>
      </c>
      <c r="E170">
        <v>1115</v>
      </c>
    </row>
    <row r="171" spans="1:5" x14ac:dyDescent="0.25">
      <c r="A171" t="s">
        <v>85</v>
      </c>
      <c r="B171">
        <v>2022</v>
      </c>
      <c r="C171" s="57">
        <v>44620</v>
      </c>
      <c r="D171">
        <v>9</v>
      </c>
      <c r="E171">
        <v>1112</v>
      </c>
    </row>
    <row r="172" spans="1:5" x14ac:dyDescent="0.25">
      <c r="A172" t="s">
        <v>85</v>
      </c>
      <c r="B172">
        <v>2022</v>
      </c>
      <c r="C172" s="57">
        <v>44651</v>
      </c>
      <c r="D172">
        <v>10</v>
      </c>
      <c r="E172">
        <v>1150</v>
      </c>
    </row>
    <row r="173" spans="1:5" x14ac:dyDescent="0.25">
      <c r="A173" t="s">
        <v>85</v>
      </c>
      <c r="B173">
        <v>2022</v>
      </c>
      <c r="C173" s="57">
        <v>44681</v>
      </c>
      <c r="D173">
        <v>9</v>
      </c>
      <c r="E173">
        <v>1206</v>
      </c>
    </row>
    <row r="174" spans="1:5" x14ac:dyDescent="0.25">
      <c r="A174" t="s">
        <v>85</v>
      </c>
      <c r="B174">
        <v>2022</v>
      </c>
      <c r="C174" s="57">
        <v>44712</v>
      </c>
      <c r="D174">
        <v>12</v>
      </c>
      <c r="E174">
        <v>1268</v>
      </c>
    </row>
    <row r="175" spans="1:5" x14ac:dyDescent="0.25">
      <c r="A175" t="s">
        <v>85</v>
      </c>
      <c r="B175">
        <v>2022</v>
      </c>
      <c r="C175" s="57">
        <v>44742</v>
      </c>
      <c r="D175">
        <v>13</v>
      </c>
      <c r="E175">
        <v>1342</v>
      </c>
    </row>
    <row r="176" spans="1:5" x14ac:dyDescent="0.25">
      <c r="A176" t="s">
        <v>85</v>
      </c>
      <c r="B176">
        <v>2022</v>
      </c>
      <c r="C176" s="57">
        <v>44773</v>
      </c>
      <c r="D176">
        <v>17</v>
      </c>
      <c r="E176">
        <v>1370</v>
      </c>
    </row>
    <row r="177" spans="1:5" x14ac:dyDescent="0.25">
      <c r="A177" t="s">
        <v>85</v>
      </c>
      <c r="B177">
        <v>2022</v>
      </c>
      <c r="C177" s="57">
        <v>44804</v>
      </c>
      <c r="D177">
        <v>20</v>
      </c>
      <c r="E177">
        <v>1409</v>
      </c>
    </row>
    <row r="178" spans="1:5" x14ac:dyDescent="0.25">
      <c r="A178" t="s">
        <v>85</v>
      </c>
      <c r="B178">
        <v>2022</v>
      </c>
      <c r="C178" s="57">
        <v>44834</v>
      </c>
      <c r="D178">
        <v>21</v>
      </c>
      <c r="E178">
        <v>1438</v>
      </c>
    </row>
    <row r="179" spans="1:5" x14ac:dyDescent="0.25">
      <c r="A179" t="s">
        <v>85</v>
      </c>
      <c r="B179">
        <v>2022</v>
      </c>
      <c r="C179" s="57">
        <v>44865</v>
      </c>
      <c r="D179">
        <v>29</v>
      </c>
      <c r="E179">
        <v>1460</v>
      </c>
    </row>
    <row r="180" spans="1:5" x14ac:dyDescent="0.25">
      <c r="A180" t="s">
        <v>85</v>
      </c>
      <c r="B180">
        <v>2022</v>
      </c>
      <c r="C180" s="57">
        <v>44895</v>
      </c>
      <c r="D180">
        <v>37</v>
      </c>
      <c r="E180">
        <v>1472</v>
      </c>
    </row>
    <row r="181" spans="1:5" x14ac:dyDescent="0.25">
      <c r="A181" t="s">
        <v>85</v>
      </c>
      <c r="B181">
        <v>2022</v>
      </c>
      <c r="C181" s="57">
        <v>44926</v>
      </c>
      <c r="D181">
        <v>44</v>
      </c>
      <c r="E181">
        <v>1517</v>
      </c>
    </row>
    <row r="182" spans="1:5" x14ac:dyDescent="0.25">
      <c r="A182" t="s">
        <v>85</v>
      </c>
      <c r="B182">
        <v>2023</v>
      </c>
      <c r="C182" s="57">
        <v>44957</v>
      </c>
      <c r="D182">
        <v>61</v>
      </c>
      <c r="E182">
        <v>2143</v>
      </c>
    </row>
    <row r="183" spans="1:5" x14ac:dyDescent="0.25">
      <c r="A183" t="s">
        <v>85</v>
      </c>
      <c r="B183">
        <v>2023</v>
      </c>
      <c r="C183" s="57">
        <v>44985</v>
      </c>
      <c r="D183">
        <v>65</v>
      </c>
      <c r="E183">
        <v>2154</v>
      </c>
    </row>
    <row r="184" spans="1:5" x14ac:dyDescent="0.25">
      <c r="A184" t="s">
        <v>85</v>
      </c>
      <c r="B184">
        <v>2023</v>
      </c>
      <c r="C184" s="57">
        <v>45016</v>
      </c>
      <c r="D184">
        <v>65</v>
      </c>
      <c r="E184">
        <v>2175</v>
      </c>
    </row>
    <row r="185" spans="1:5" x14ac:dyDescent="0.25">
      <c r="A185" t="s">
        <v>85</v>
      </c>
      <c r="B185">
        <v>2023</v>
      </c>
      <c r="C185" s="57">
        <v>45046</v>
      </c>
      <c r="D185">
        <v>67</v>
      </c>
      <c r="E185">
        <v>2186</v>
      </c>
    </row>
    <row r="186" spans="1:5" x14ac:dyDescent="0.25">
      <c r="A186" t="s">
        <v>85</v>
      </c>
      <c r="B186">
        <v>2023</v>
      </c>
      <c r="C186" s="57">
        <v>45077</v>
      </c>
      <c r="D186">
        <v>67</v>
      </c>
      <c r="E186">
        <v>2198</v>
      </c>
    </row>
    <row r="187" spans="1:5" x14ac:dyDescent="0.25">
      <c r="A187" t="s">
        <v>85</v>
      </c>
      <c r="B187">
        <v>2023</v>
      </c>
      <c r="C187" s="57">
        <v>45107</v>
      </c>
      <c r="D187">
        <v>68</v>
      </c>
      <c r="E187">
        <v>2209</v>
      </c>
    </row>
    <row r="188" spans="1:5" x14ac:dyDescent="0.25">
      <c r="A188" t="s">
        <v>86</v>
      </c>
      <c r="B188">
        <v>2016</v>
      </c>
      <c r="C188" s="57">
        <v>42400</v>
      </c>
      <c r="D188">
        <v>1</v>
      </c>
      <c r="E188">
        <v>131</v>
      </c>
    </row>
    <row r="189" spans="1:5" x14ac:dyDescent="0.25">
      <c r="A189" t="s">
        <v>86</v>
      </c>
      <c r="B189">
        <v>2016</v>
      </c>
      <c r="C189" s="57">
        <v>42429</v>
      </c>
      <c r="D189">
        <v>1</v>
      </c>
      <c r="E189">
        <v>132</v>
      </c>
    </row>
    <row r="190" spans="1:5" x14ac:dyDescent="0.25">
      <c r="A190" t="s">
        <v>86</v>
      </c>
      <c r="B190">
        <v>2016</v>
      </c>
      <c r="C190" s="57">
        <v>42460</v>
      </c>
      <c r="D190">
        <v>1</v>
      </c>
      <c r="E190">
        <v>135</v>
      </c>
    </row>
    <row r="191" spans="1:5" x14ac:dyDescent="0.25">
      <c r="A191" t="s">
        <v>86</v>
      </c>
      <c r="B191">
        <v>2016</v>
      </c>
      <c r="C191" s="57">
        <v>42490</v>
      </c>
      <c r="D191">
        <v>2</v>
      </c>
      <c r="E191">
        <v>136</v>
      </c>
    </row>
    <row r="192" spans="1:5" x14ac:dyDescent="0.25">
      <c r="A192" t="s">
        <v>86</v>
      </c>
      <c r="B192">
        <v>2016</v>
      </c>
      <c r="C192" s="57">
        <v>42521</v>
      </c>
      <c r="D192">
        <v>2</v>
      </c>
      <c r="E192">
        <v>137</v>
      </c>
    </row>
    <row r="193" spans="1:5" x14ac:dyDescent="0.25">
      <c r="A193" t="s">
        <v>86</v>
      </c>
      <c r="B193">
        <v>2016</v>
      </c>
      <c r="C193" s="57">
        <v>42551</v>
      </c>
      <c r="D193">
        <v>2</v>
      </c>
      <c r="E193">
        <v>137</v>
      </c>
    </row>
    <row r="194" spans="1:5" x14ac:dyDescent="0.25">
      <c r="A194" t="s">
        <v>86</v>
      </c>
      <c r="B194">
        <v>2016</v>
      </c>
      <c r="C194" s="57">
        <v>42582</v>
      </c>
      <c r="D194">
        <v>2</v>
      </c>
      <c r="E194">
        <v>143</v>
      </c>
    </row>
    <row r="195" spans="1:5" x14ac:dyDescent="0.25">
      <c r="A195" t="s">
        <v>86</v>
      </c>
      <c r="B195">
        <v>2016</v>
      </c>
      <c r="C195" s="57">
        <v>42613</v>
      </c>
      <c r="D195">
        <v>2</v>
      </c>
      <c r="E195">
        <v>146</v>
      </c>
    </row>
    <row r="196" spans="1:5" x14ac:dyDescent="0.25">
      <c r="A196" t="s">
        <v>86</v>
      </c>
      <c r="B196">
        <v>2016</v>
      </c>
      <c r="C196" s="57">
        <v>42643</v>
      </c>
      <c r="D196">
        <v>2</v>
      </c>
      <c r="E196">
        <v>153</v>
      </c>
    </row>
    <row r="197" spans="1:5" x14ac:dyDescent="0.25">
      <c r="A197" t="s">
        <v>86</v>
      </c>
      <c r="B197">
        <v>2016</v>
      </c>
      <c r="C197" s="57">
        <v>42674</v>
      </c>
      <c r="D197">
        <v>2</v>
      </c>
      <c r="E197">
        <v>150</v>
      </c>
    </row>
    <row r="198" spans="1:5" x14ac:dyDescent="0.25">
      <c r="A198" t="s">
        <v>86</v>
      </c>
      <c r="B198">
        <v>2016</v>
      </c>
      <c r="C198" s="57">
        <v>42704</v>
      </c>
      <c r="D198">
        <v>2</v>
      </c>
      <c r="E198">
        <v>158</v>
      </c>
    </row>
    <row r="199" spans="1:5" x14ac:dyDescent="0.25">
      <c r="A199" t="s">
        <v>86</v>
      </c>
      <c r="B199">
        <v>2016</v>
      </c>
      <c r="C199" s="57">
        <v>42735</v>
      </c>
      <c r="D199">
        <v>2</v>
      </c>
      <c r="E199">
        <v>160</v>
      </c>
    </row>
    <row r="200" spans="1:5" x14ac:dyDescent="0.25">
      <c r="A200" t="s">
        <v>86</v>
      </c>
      <c r="B200">
        <v>2017</v>
      </c>
      <c r="C200" s="57">
        <v>42766</v>
      </c>
      <c r="D200">
        <v>1</v>
      </c>
      <c r="E200">
        <v>159</v>
      </c>
    </row>
    <row r="201" spans="1:5" x14ac:dyDescent="0.25">
      <c r="A201" t="s">
        <v>86</v>
      </c>
      <c r="B201">
        <v>2017</v>
      </c>
      <c r="C201" s="57">
        <v>42794</v>
      </c>
      <c r="D201">
        <v>1</v>
      </c>
      <c r="E201">
        <v>161</v>
      </c>
    </row>
    <row r="202" spans="1:5" x14ac:dyDescent="0.25">
      <c r="A202" t="s">
        <v>86</v>
      </c>
      <c r="B202">
        <v>2017</v>
      </c>
      <c r="C202" s="57">
        <v>42825</v>
      </c>
      <c r="D202">
        <v>1</v>
      </c>
      <c r="E202">
        <v>164</v>
      </c>
    </row>
    <row r="203" spans="1:5" x14ac:dyDescent="0.25">
      <c r="A203" t="s">
        <v>86</v>
      </c>
      <c r="B203">
        <v>2017</v>
      </c>
      <c r="C203" s="57">
        <v>42855</v>
      </c>
      <c r="D203">
        <v>0</v>
      </c>
      <c r="E203">
        <v>171</v>
      </c>
    </row>
    <row r="204" spans="1:5" x14ac:dyDescent="0.25">
      <c r="A204" t="s">
        <v>86</v>
      </c>
      <c r="B204">
        <v>2017</v>
      </c>
      <c r="C204" s="57">
        <v>42886</v>
      </c>
      <c r="D204">
        <v>0</v>
      </c>
      <c r="E204">
        <v>173</v>
      </c>
    </row>
    <row r="205" spans="1:5" x14ac:dyDescent="0.25">
      <c r="A205" t="s">
        <v>86</v>
      </c>
      <c r="B205">
        <v>2017</v>
      </c>
      <c r="C205" s="57">
        <v>42916</v>
      </c>
      <c r="D205">
        <v>0</v>
      </c>
      <c r="E205">
        <v>176</v>
      </c>
    </row>
    <row r="206" spans="1:5" x14ac:dyDescent="0.25">
      <c r="A206" t="s">
        <v>86</v>
      </c>
      <c r="B206">
        <v>2017</v>
      </c>
      <c r="C206" s="57">
        <v>42947</v>
      </c>
      <c r="D206">
        <v>2</v>
      </c>
      <c r="E206">
        <v>178</v>
      </c>
    </row>
    <row r="207" spans="1:5" x14ac:dyDescent="0.25">
      <c r="A207" t="s">
        <v>86</v>
      </c>
      <c r="B207">
        <v>2017</v>
      </c>
      <c r="C207" s="57">
        <v>42978</v>
      </c>
      <c r="D207">
        <v>3</v>
      </c>
      <c r="E207">
        <v>177</v>
      </c>
    </row>
    <row r="208" spans="1:5" x14ac:dyDescent="0.25">
      <c r="A208" t="s">
        <v>86</v>
      </c>
      <c r="B208">
        <v>2017</v>
      </c>
      <c r="C208" s="57">
        <v>43008</v>
      </c>
      <c r="D208">
        <v>3</v>
      </c>
      <c r="E208">
        <v>178</v>
      </c>
    </row>
    <row r="209" spans="1:5" x14ac:dyDescent="0.25">
      <c r="A209" t="s">
        <v>86</v>
      </c>
      <c r="B209">
        <v>2017</v>
      </c>
      <c r="C209" s="57">
        <v>43039</v>
      </c>
      <c r="D209">
        <v>4</v>
      </c>
      <c r="E209">
        <v>178</v>
      </c>
    </row>
    <row r="210" spans="1:5" x14ac:dyDescent="0.25">
      <c r="A210" t="s">
        <v>86</v>
      </c>
      <c r="B210">
        <v>2017</v>
      </c>
      <c r="C210" s="57">
        <v>43069</v>
      </c>
      <c r="D210">
        <v>4</v>
      </c>
      <c r="E210">
        <v>176</v>
      </c>
    </row>
    <row r="211" spans="1:5" x14ac:dyDescent="0.25">
      <c r="A211" t="s">
        <v>86</v>
      </c>
      <c r="B211">
        <v>2017</v>
      </c>
      <c r="C211" s="57">
        <v>43100</v>
      </c>
      <c r="D211">
        <v>4</v>
      </c>
      <c r="E211">
        <v>174</v>
      </c>
    </row>
    <row r="212" spans="1:5" x14ac:dyDescent="0.25">
      <c r="A212" t="s">
        <v>86</v>
      </c>
      <c r="B212">
        <v>2018</v>
      </c>
      <c r="C212" s="57">
        <v>43131</v>
      </c>
      <c r="D212">
        <v>4</v>
      </c>
      <c r="E212">
        <v>163</v>
      </c>
    </row>
    <row r="213" spans="1:5" x14ac:dyDescent="0.25">
      <c r="A213" t="s">
        <v>86</v>
      </c>
      <c r="B213">
        <v>2018</v>
      </c>
      <c r="C213" s="57">
        <v>43159</v>
      </c>
      <c r="D213">
        <v>4</v>
      </c>
      <c r="E213">
        <v>160</v>
      </c>
    </row>
    <row r="214" spans="1:5" x14ac:dyDescent="0.25">
      <c r="A214" t="s">
        <v>86</v>
      </c>
      <c r="B214">
        <v>2018</v>
      </c>
      <c r="C214" s="57">
        <v>43190</v>
      </c>
      <c r="D214">
        <v>4</v>
      </c>
      <c r="E214">
        <v>161</v>
      </c>
    </row>
    <row r="215" spans="1:5" x14ac:dyDescent="0.25">
      <c r="A215" t="s">
        <v>86</v>
      </c>
      <c r="B215">
        <v>2018</v>
      </c>
      <c r="C215" s="57">
        <v>43220</v>
      </c>
      <c r="D215">
        <v>4</v>
      </c>
      <c r="E215">
        <v>164</v>
      </c>
    </row>
    <row r="216" spans="1:5" x14ac:dyDescent="0.25">
      <c r="A216" t="s">
        <v>86</v>
      </c>
      <c r="B216">
        <v>2018</v>
      </c>
      <c r="C216" s="57">
        <v>43251</v>
      </c>
      <c r="D216">
        <v>4</v>
      </c>
      <c r="E216">
        <v>165</v>
      </c>
    </row>
    <row r="217" spans="1:5" x14ac:dyDescent="0.25">
      <c r="A217" t="s">
        <v>86</v>
      </c>
      <c r="B217">
        <v>2018</v>
      </c>
      <c r="C217" s="57">
        <v>43281</v>
      </c>
      <c r="D217">
        <v>6</v>
      </c>
      <c r="E217">
        <v>191</v>
      </c>
    </row>
    <row r="218" spans="1:5" x14ac:dyDescent="0.25">
      <c r="A218" t="s">
        <v>86</v>
      </c>
      <c r="B218">
        <v>2018</v>
      </c>
      <c r="C218" s="57">
        <v>43312</v>
      </c>
      <c r="D218">
        <v>12</v>
      </c>
      <c r="E218">
        <v>199</v>
      </c>
    </row>
    <row r="219" spans="1:5" x14ac:dyDescent="0.25">
      <c r="A219" t="s">
        <v>86</v>
      </c>
      <c r="B219">
        <v>2018</v>
      </c>
      <c r="C219" s="57">
        <v>43343</v>
      </c>
      <c r="D219">
        <v>11</v>
      </c>
      <c r="E219">
        <v>199</v>
      </c>
    </row>
    <row r="220" spans="1:5" x14ac:dyDescent="0.25">
      <c r="A220" t="s">
        <v>86</v>
      </c>
      <c r="B220">
        <v>2018</v>
      </c>
      <c r="C220" s="57">
        <v>43373</v>
      </c>
      <c r="D220">
        <v>11</v>
      </c>
      <c r="E220">
        <v>200</v>
      </c>
    </row>
    <row r="221" spans="1:5" x14ac:dyDescent="0.25">
      <c r="A221" t="s">
        <v>86</v>
      </c>
      <c r="B221">
        <v>2018</v>
      </c>
      <c r="C221" s="57">
        <v>43404</v>
      </c>
      <c r="D221">
        <v>5</v>
      </c>
      <c r="E221">
        <v>204</v>
      </c>
    </row>
    <row r="222" spans="1:5" x14ac:dyDescent="0.25">
      <c r="A222" t="s">
        <v>86</v>
      </c>
      <c r="B222">
        <v>2018</v>
      </c>
      <c r="C222" s="57">
        <v>43434</v>
      </c>
      <c r="D222">
        <v>6</v>
      </c>
      <c r="E222">
        <v>218</v>
      </c>
    </row>
    <row r="223" spans="1:5" x14ac:dyDescent="0.25">
      <c r="A223" t="s">
        <v>86</v>
      </c>
      <c r="B223">
        <v>2018</v>
      </c>
      <c r="C223" s="57">
        <v>43465</v>
      </c>
      <c r="D223">
        <v>6</v>
      </c>
      <c r="E223">
        <v>227</v>
      </c>
    </row>
    <row r="224" spans="1:5" x14ac:dyDescent="0.25">
      <c r="A224" t="s">
        <v>86</v>
      </c>
      <c r="B224">
        <v>2019</v>
      </c>
      <c r="C224" s="57">
        <v>43496</v>
      </c>
      <c r="D224">
        <v>8</v>
      </c>
      <c r="E224">
        <v>417</v>
      </c>
    </row>
    <row r="225" spans="1:5" x14ac:dyDescent="0.25">
      <c r="A225" t="s">
        <v>86</v>
      </c>
      <c r="B225">
        <v>2019</v>
      </c>
      <c r="C225" s="57">
        <v>43524</v>
      </c>
      <c r="D225">
        <v>10</v>
      </c>
      <c r="E225">
        <v>431</v>
      </c>
    </row>
    <row r="226" spans="1:5" x14ac:dyDescent="0.25">
      <c r="A226" t="s">
        <v>86</v>
      </c>
      <c r="B226">
        <v>2019</v>
      </c>
      <c r="C226" s="57">
        <v>43555</v>
      </c>
      <c r="D226">
        <v>9</v>
      </c>
      <c r="E226">
        <v>445</v>
      </c>
    </row>
    <row r="227" spans="1:5" x14ac:dyDescent="0.25">
      <c r="A227" t="s">
        <v>86</v>
      </c>
      <c r="B227">
        <v>2019</v>
      </c>
      <c r="C227" s="57">
        <v>43585</v>
      </c>
      <c r="D227">
        <v>9</v>
      </c>
      <c r="E227">
        <v>459</v>
      </c>
    </row>
    <row r="228" spans="1:5" x14ac:dyDescent="0.25">
      <c r="A228" t="s">
        <v>86</v>
      </c>
      <c r="B228">
        <v>2019</v>
      </c>
      <c r="C228" s="57">
        <v>43616</v>
      </c>
      <c r="D228">
        <v>9</v>
      </c>
      <c r="E228">
        <v>472</v>
      </c>
    </row>
    <row r="229" spans="1:5" x14ac:dyDescent="0.25">
      <c r="A229" t="s">
        <v>86</v>
      </c>
      <c r="B229">
        <v>2019</v>
      </c>
      <c r="C229" s="57">
        <v>43646</v>
      </c>
      <c r="D229">
        <v>8</v>
      </c>
      <c r="E229">
        <v>485</v>
      </c>
    </row>
    <row r="230" spans="1:5" x14ac:dyDescent="0.25">
      <c r="A230" t="s">
        <v>86</v>
      </c>
      <c r="B230">
        <v>2019</v>
      </c>
      <c r="C230" s="57">
        <v>43677</v>
      </c>
      <c r="D230">
        <v>6</v>
      </c>
      <c r="E230">
        <v>500</v>
      </c>
    </row>
    <row r="231" spans="1:5" x14ac:dyDescent="0.25">
      <c r="A231" t="s">
        <v>86</v>
      </c>
      <c r="B231">
        <v>2019</v>
      </c>
      <c r="C231" s="57">
        <v>43708</v>
      </c>
      <c r="D231">
        <v>4</v>
      </c>
      <c r="E231">
        <v>519</v>
      </c>
    </row>
    <row r="232" spans="1:5" x14ac:dyDescent="0.25">
      <c r="A232" t="s">
        <v>86</v>
      </c>
      <c r="B232">
        <v>2019</v>
      </c>
      <c r="C232" s="57">
        <v>43738</v>
      </c>
      <c r="D232">
        <v>4</v>
      </c>
      <c r="E232">
        <v>535</v>
      </c>
    </row>
    <row r="233" spans="1:5" x14ac:dyDescent="0.25">
      <c r="A233" t="s">
        <v>86</v>
      </c>
      <c r="B233">
        <v>2019</v>
      </c>
      <c r="C233" s="57">
        <v>43769</v>
      </c>
      <c r="D233">
        <v>3</v>
      </c>
      <c r="E233">
        <v>551</v>
      </c>
    </row>
    <row r="234" spans="1:5" x14ac:dyDescent="0.25">
      <c r="A234" t="s">
        <v>86</v>
      </c>
      <c r="B234">
        <v>2019</v>
      </c>
      <c r="C234" s="57">
        <v>43799</v>
      </c>
      <c r="D234">
        <v>3</v>
      </c>
      <c r="E234">
        <v>586</v>
      </c>
    </row>
    <row r="235" spans="1:5" x14ac:dyDescent="0.25">
      <c r="A235" t="s">
        <v>86</v>
      </c>
      <c r="B235">
        <v>2019</v>
      </c>
      <c r="C235" s="57">
        <v>43830</v>
      </c>
      <c r="D235">
        <v>3</v>
      </c>
      <c r="E235">
        <v>642</v>
      </c>
    </row>
    <row r="236" spans="1:5" x14ac:dyDescent="0.25">
      <c r="A236" t="s">
        <v>86</v>
      </c>
      <c r="B236">
        <v>2020</v>
      </c>
      <c r="C236" s="57">
        <v>43861</v>
      </c>
      <c r="D236">
        <v>3</v>
      </c>
      <c r="E236">
        <v>612</v>
      </c>
    </row>
    <row r="237" spans="1:5" x14ac:dyDescent="0.25">
      <c r="A237" t="s">
        <v>86</v>
      </c>
      <c r="B237">
        <v>2020</v>
      </c>
      <c r="C237" s="57">
        <v>43890</v>
      </c>
      <c r="D237">
        <v>2</v>
      </c>
      <c r="E237">
        <v>612</v>
      </c>
    </row>
    <row r="238" spans="1:5" x14ac:dyDescent="0.25">
      <c r="A238" t="s">
        <v>86</v>
      </c>
      <c r="B238">
        <v>2020</v>
      </c>
      <c r="C238" s="57">
        <v>43921</v>
      </c>
      <c r="D238">
        <v>2</v>
      </c>
      <c r="E238">
        <v>623</v>
      </c>
    </row>
    <row r="239" spans="1:5" x14ac:dyDescent="0.25">
      <c r="A239" t="s">
        <v>86</v>
      </c>
      <c r="B239">
        <v>2020</v>
      </c>
      <c r="C239" s="57">
        <v>43951</v>
      </c>
      <c r="D239">
        <v>3</v>
      </c>
      <c r="E239">
        <v>1006</v>
      </c>
    </row>
    <row r="240" spans="1:5" x14ac:dyDescent="0.25">
      <c r="A240" t="s">
        <v>86</v>
      </c>
      <c r="B240">
        <v>2020</v>
      </c>
      <c r="C240" s="57">
        <v>43982</v>
      </c>
      <c r="D240">
        <v>4</v>
      </c>
      <c r="E240">
        <v>1018</v>
      </c>
    </row>
    <row r="241" spans="1:5" x14ac:dyDescent="0.25">
      <c r="A241" t="s">
        <v>86</v>
      </c>
      <c r="B241">
        <v>2020</v>
      </c>
      <c r="C241" s="57">
        <v>44012</v>
      </c>
      <c r="D241">
        <v>4</v>
      </c>
      <c r="E241">
        <v>1036</v>
      </c>
    </row>
    <row r="242" spans="1:5" x14ac:dyDescent="0.25">
      <c r="A242" t="s">
        <v>86</v>
      </c>
      <c r="B242">
        <v>2020</v>
      </c>
      <c r="C242" s="57">
        <v>44043</v>
      </c>
      <c r="D242">
        <v>4</v>
      </c>
      <c r="E242">
        <v>1043</v>
      </c>
    </row>
    <row r="243" spans="1:5" x14ac:dyDescent="0.25">
      <c r="A243" t="s">
        <v>86</v>
      </c>
      <c r="B243">
        <v>2020</v>
      </c>
      <c r="C243" s="57">
        <v>44074</v>
      </c>
      <c r="D243">
        <v>6</v>
      </c>
      <c r="E243">
        <v>1055</v>
      </c>
    </row>
    <row r="244" spans="1:5" x14ac:dyDescent="0.25">
      <c r="A244" t="s">
        <v>86</v>
      </c>
      <c r="B244">
        <v>2020</v>
      </c>
      <c r="C244" s="57">
        <v>44104</v>
      </c>
      <c r="D244">
        <v>7</v>
      </c>
      <c r="E244">
        <v>1075</v>
      </c>
    </row>
    <row r="245" spans="1:5" x14ac:dyDescent="0.25">
      <c r="A245" t="s">
        <v>86</v>
      </c>
      <c r="B245">
        <v>2020</v>
      </c>
      <c r="C245" s="57">
        <v>44135</v>
      </c>
      <c r="D245">
        <v>6</v>
      </c>
      <c r="E245">
        <v>1095</v>
      </c>
    </row>
    <row r="246" spans="1:5" x14ac:dyDescent="0.25">
      <c r="A246" t="s">
        <v>86</v>
      </c>
      <c r="B246">
        <v>2020</v>
      </c>
      <c r="C246" s="57">
        <v>44165</v>
      </c>
      <c r="D246">
        <v>6</v>
      </c>
      <c r="E246">
        <v>1123</v>
      </c>
    </row>
    <row r="247" spans="1:5" x14ac:dyDescent="0.25">
      <c r="A247" t="s">
        <v>86</v>
      </c>
      <c r="B247">
        <v>2020</v>
      </c>
      <c r="C247" s="57">
        <v>44196</v>
      </c>
      <c r="D247">
        <v>52</v>
      </c>
      <c r="E247">
        <v>1221</v>
      </c>
    </row>
    <row r="248" spans="1:5" x14ac:dyDescent="0.25">
      <c r="A248" t="s">
        <v>86</v>
      </c>
      <c r="B248">
        <v>2021</v>
      </c>
      <c r="C248" s="57">
        <v>44227</v>
      </c>
      <c r="D248">
        <v>6</v>
      </c>
      <c r="E248">
        <v>1086</v>
      </c>
    </row>
    <row r="249" spans="1:5" x14ac:dyDescent="0.25">
      <c r="A249" t="s">
        <v>86</v>
      </c>
      <c r="B249">
        <v>2021</v>
      </c>
      <c r="C249" s="57">
        <v>44255</v>
      </c>
      <c r="D249">
        <v>6</v>
      </c>
      <c r="E249">
        <v>1091</v>
      </c>
    </row>
    <row r="250" spans="1:5" x14ac:dyDescent="0.25">
      <c r="A250" t="s">
        <v>86</v>
      </c>
      <c r="B250">
        <v>2021</v>
      </c>
      <c r="C250" s="57">
        <v>44286</v>
      </c>
      <c r="D250">
        <v>6</v>
      </c>
      <c r="E250">
        <v>1097</v>
      </c>
    </row>
    <row r="251" spans="1:5" x14ac:dyDescent="0.25">
      <c r="A251" t="s">
        <v>86</v>
      </c>
      <c r="B251">
        <v>2021</v>
      </c>
      <c r="C251" s="57">
        <v>44316</v>
      </c>
      <c r="D251">
        <v>7</v>
      </c>
      <c r="E251">
        <v>1128</v>
      </c>
    </row>
    <row r="252" spans="1:5" x14ac:dyDescent="0.25">
      <c r="A252" t="s">
        <v>86</v>
      </c>
      <c r="B252">
        <v>2021</v>
      </c>
      <c r="C252" s="57">
        <v>44347</v>
      </c>
      <c r="D252">
        <v>7</v>
      </c>
      <c r="E252">
        <v>1151</v>
      </c>
    </row>
    <row r="253" spans="1:5" x14ac:dyDescent="0.25">
      <c r="A253" t="s">
        <v>86</v>
      </c>
      <c r="B253">
        <v>2021</v>
      </c>
      <c r="C253" s="57">
        <v>44377</v>
      </c>
      <c r="D253">
        <v>7</v>
      </c>
      <c r="E253">
        <v>1179</v>
      </c>
    </row>
    <row r="254" spans="1:5" x14ac:dyDescent="0.25">
      <c r="A254" t="s">
        <v>86</v>
      </c>
      <c r="B254">
        <v>2021</v>
      </c>
      <c r="C254" s="57">
        <v>44408</v>
      </c>
      <c r="D254">
        <v>7</v>
      </c>
      <c r="E254">
        <v>1208</v>
      </c>
    </row>
    <row r="255" spans="1:5" x14ac:dyDescent="0.25">
      <c r="A255" t="s">
        <v>86</v>
      </c>
      <c r="B255">
        <v>2021</v>
      </c>
      <c r="C255" s="57">
        <v>44439</v>
      </c>
      <c r="D255">
        <v>5</v>
      </c>
      <c r="E255">
        <v>1221</v>
      </c>
    </row>
    <row r="256" spans="1:5" x14ac:dyDescent="0.25">
      <c r="A256" t="s">
        <v>86</v>
      </c>
      <c r="B256">
        <v>2021</v>
      </c>
      <c r="C256" s="57">
        <v>44469</v>
      </c>
      <c r="D256">
        <v>5</v>
      </c>
      <c r="E256">
        <v>1253</v>
      </c>
    </row>
    <row r="257" spans="1:5" x14ac:dyDescent="0.25">
      <c r="A257" t="s">
        <v>86</v>
      </c>
      <c r="B257">
        <v>2021</v>
      </c>
      <c r="C257" s="57">
        <v>44500</v>
      </c>
      <c r="D257">
        <v>5</v>
      </c>
      <c r="E257">
        <v>1296</v>
      </c>
    </row>
    <row r="258" spans="1:5" x14ac:dyDescent="0.25">
      <c r="A258" t="s">
        <v>86</v>
      </c>
      <c r="B258">
        <v>2021</v>
      </c>
      <c r="C258" s="57">
        <v>44530</v>
      </c>
      <c r="D258">
        <v>5</v>
      </c>
      <c r="E258">
        <v>1334</v>
      </c>
    </row>
    <row r="259" spans="1:5" x14ac:dyDescent="0.25">
      <c r="A259" t="s">
        <v>86</v>
      </c>
      <c r="B259">
        <v>2021</v>
      </c>
      <c r="C259" s="57">
        <v>44561</v>
      </c>
      <c r="D259">
        <v>6</v>
      </c>
      <c r="E259">
        <v>1383</v>
      </c>
    </row>
    <row r="260" spans="1:5" x14ac:dyDescent="0.25">
      <c r="A260" t="s">
        <v>86</v>
      </c>
      <c r="B260">
        <v>2022</v>
      </c>
      <c r="C260" s="57">
        <v>44592</v>
      </c>
      <c r="D260">
        <v>7</v>
      </c>
      <c r="E260">
        <v>1293</v>
      </c>
    </row>
    <row r="261" spans="1:5" x14ac:dyDescent="0.25">
      <c r="A261" t="s">
        <v>86</v>
      </c>
      <c r="B261">
        <v>2022</v>
      </c>
      <c r="C261" s="57">
        <v>44620</v>
      </c>
      <c r="D261">
        <v>7</v>
      </c>
      <c r="E261">
        <v>1293</v>
      </c>
    </row>
    <row r="262" spans="1:5" x14ac:dyDescent="0.25">
      <c r="A262" t="s">
        <v>86</v>
      </c>
      <c r="B262">
        <v>2022</v>
      </c>
      <c r="C262" s="57">
        <v>44651</v>
      </c>
      <c r="D262">
        <v>5</v>
      </c>
      <c r="E262">
        <v>1318</v>
      </c>
    </row>
    <row r="263" spans="1:5" x14ac:dyDescent="0.25">
      <c r="A263" t="s">
        <v>86</v>
      </c>
      <c r="B263">
        <v>2022</v>
      </c>
      <c r="C263" s="57">
        <v>44681</v>
      </c>
      <c r="D263">
        <v>4</v>
      </c>
      <c r="E263">
        <v>1345</v>
      </c>
    </row>
    <row r="264" spans="1:5" x14ac:dyDescent="0.25">
      <c r="A264" t="s">
        <v>86</v>
      </c>
      <c r="B264">
        <v>2022</v>
      </c>
      <c r="C264" s="57">
        <v>44712</v>
      </c>
      <c r="D264">
        <v>5</v>
      </c>
      <c r="E264">
        <v>1375</v>
      </c>
    </row>
    <row r="265" spans="1:5" x14ac:dyDescent="0.25">
      <c r="A265" t="s">
        <v>86</v>
      </c>
      <c r="B265">
        <v>2022</v>
      </c>
      <c r="C265" s="57">
        <v>44742</v>
      </c>
      <c r="D265">
        <v>7</v>
      </c>
      <c r="E265">
        <v>1446</v>
      </c>
    </row>
    <row r="266" spans="1:5" x14ac:dyDescent="0.25">
      <c r="A266" t="s">
        <v>86</v>
      </c>
      <c r="B266">
        <v>2022</v>
      </c>
      <c r="C266" s="57">
        <v>44773</v>
      </c>
      <c r="D266">
        <v>8</v>
      </c>
      <c r="E266">
        <v>1483</v>
      </c>
    </row>
    <row r="267" spans="1:5" x14ac:dyDescent="0.25">
      <c r="A267" t="s">
        <v>86</v>
      </c>
      <c r="B267">
        <v>2022</v>
      </c>
      <c r="C267" s="57">
        <v>44804</v>
      </c>
      <c r="D267">
        <v>9</v>
      </c>
      <c r="E267">
        <v>1526</v>
      </c>
    </row>
    <row r="268" spans="1:5" x14ac:dyDescent="0.25">
      <c r="A268" t="s">
        <v>86</v>
      </c>
      <c r="B268">
        <v>2022</v>
      </c>
      <c r="C268" s="57">
        <v>44834</v>
      </c>
      <c r="D268">
        <v>9</v>
      </c>
      <c r="E268">
        <v>1532</v>
      </c>
    </row>
    <row r="269" spans="1:5" x14ac:dyDescent="0.25">
      <c r="A269" t="s">
        <v>86</v>
      </c>
      <c r="B269">
        <v>2022</v>
      </c>
      <c r="C269" s="57">
        <v>44865</v>
      </c>
      <c r="D269">
        <v>11</v>
      </c>
      <c r="E269">
        <v>1554</v>
      </c>
    </row>
    <row r="270" spans="1:5" x14ac:dyDescent="0.25">
      <c r="A270" t="s">
        <v>86</v>
      </c>
      <c r="B270">
        <v>2022</v>
      </c>
      <c r="C270" s="57">
        <v>44895</v>
      </c>
      <c r="D270">
        <v>14</v>
      </c>
      <c r="E270">
        <v>1584</v>
      </c>
    </row>
    <row r="271" spans="1:5" x14ac:dyDescent="0.25">
      <c r="A271" t="s">
        <v>86</v>
      </c>
      <c r="B271">
        <v>2022</v>
      </c>
      <c r="C271" s="57">
        <v>44926</v>
      </c>
      <c r="D271">
        <v>14</v>
      </c>
      <c r="E271">
        <v>1630</v>
      </c>
    </row>
    <row r="272" spans="1:5" x14ac:dyDescent="0.25">
      <c r="A272" t="s">
        <v>86</v>
      </c>
      <c r="B272">
        <v>2023</v>
      </c>
      <c r="C272" s="57">
        <v>44957</v>
      </c>
      <c r="D272">
        <v>10</v>
      </c>
      <c r="E272">
        <v>1286</v>
      </c>
    </row>
    <row r="273" spans="1:5" x14ac:dyDescent="0.25">
      <c r="A273" t="s">
        <v>86</v>
      </c>
      <c r="B273">
        <v>2023</v>
      </c>
      <c r="C273" s="57">
        <v>44985</v>
      </c>
      <c r="D273">
        <v>11</v>
      </c>
      <c r="E273">
        <v>1282</v>
      </c>
    </row>
    <row r="274" spans="1:5" x14ac:dyDescent="0.25">
      <c r="A274" t="s">
        <v>86</v>
      </c>
      <c r="B274">
        <v>2023</v>
      </c>
      <c r="C274" s="57">
        <v>45016</v>
      </c>
      <c r="D274">
        <v>14</v>
      </c>
      <c r="E274">
        <v>1274</v>
      </c>
    </row>
    <row r="275" spans="1:5" x14ac:dyDescent="0.25">
      <c r="A275" t="s">
        <v>86</v>
      </c>
      <c r="B275">
        <v>2023</v>
      </c>
      <c r="C275" s="57">
        <v>45046</v>
      </c>
      <c r="D275">
        <v>16</v>
      </c>
      <c r="E275">
        <v>1271</v>
      </c>
    </row>
    <row r="276" spans="1:5" x14ac:dyDescent="0.25">
      <c r="A276" t="s">
        <v>86</v>
      </c>
      <c r="B276">
        <v>2023</v>
      </c>
      <c r="C276" s="57">
        <v>45077</v>
      </c>
      <c r="D276">
        <v>16</v>
      </c>
      <c r="E276">
        <v>1274</v>
      </c>
    </row>
    <row r="277" spans="1:5" x14ac:dyDescent="0.25">
      <c r="A277" t="s">
        <v>86</v>
      </c>
      <c r="B277">
        <v>2023</v>
      </c>
      <c r="C277" s="57">
        <v>45107</v>
      </c>
      <c r="D277">
        <v>17</v>
      </c>
      <c r="E277">
        <v>1282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 </vt:lpstr>
      <vt:lpstr>1| Parameter</vt:lpstr>
      <vt:lpstr>2| Non-Default</vt:lpstr>
      <vt:lpstr>3| Function</vt:lpstr>
      <vt:lpstr>4| Default</vt:lpstr>
      <vt:lpstr>5| TTC Model</vt:lpstr>
      <vt:lpstr>RATING_DATA</vt:lpstr>
      <vt:lpstr>ACCOUNT_DATA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Sasiwut Chaiyadecha</dc:creator>
  <cp:lastModifiedBy>Sasiwut Chaiyadecha</cp:lastModifiedBy>
  <dcterms:created xsi:type="dcterms:W3CDTF">2024-10-02T03:26:10Z</dcterms:created>
  <dcterms:modified xsi:type="dcterms:W3CDTF">2024-12-04T06:20:19Z</dcterms:modified>
</cp:coreProperties>
</file>